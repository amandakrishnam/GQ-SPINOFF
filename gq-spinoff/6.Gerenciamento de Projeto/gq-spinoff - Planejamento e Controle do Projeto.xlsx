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anda\EstudosDev\htmlCss\GQ-SPINOFF\gq-spinoff\6.Gerenciamento de Projeto\"/>
    </mc:Choice>
  </mc:AlternateContent>
  <xr:revisionPtr revIDLastSave="0" documentId="13_ncr:1_{A9030486-6572-4CE7-BAD2-C47B07049198}" xr6:coauthVersionLast="47" xr6:coauthVersionMax="47" xr10:uidLastSave="{00000000-0000-0000-0000-000000000000}"/>
  <bookViews>
    <workbookView xWindow="-108" yWindow="-108" windowWidth="23256" windowHeight="12456" activeTab="1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7" l="1"/>
  <c r="K15" i="7"/>
  <c r="K16" i="7" s="1"/>
  <c r="I15" i="7"/>
  <c r="G15" i="7"/>
  <c r="M12" i="7"/>
  <c r="M16" i="7" s="1"/>
  <c r="K12" i="7"/>
  <c r="I12" i="7"/>
  <c r="I16" i="7" s="1"/>
  <c r="G12" i="7"/>
  <c r="B10" i="7"/>
  <c r="N24" i="6"/>
  <c r="N23" i="6"/>
  <c r="K15" i="6"/>
  <c r="K14" i="6"/>
  <c r="K13" i="6"/>
  <c r="K10" i="6"/>
  <c r="K9" i="6"/>
  <c r="K16" i="6" s="1"/>
  <c r="F60" i="5"/>
  <c r="F59" i="5"/>
  <c r="F58" i="5"/>
  <c r="F57" i="5"/>
  <c r="F56" i="5"/>
  <c r="F55" i="5"/>
  <c r="F54" i="5"/>
  <c r="F53" i="5"/>
  <c r="F52" i="5"/>
  <c r="F51" i="5"/>
  <c r="F50" i="5"/>
  <c r="J15" i="4"/>
  <c r="I15" i="4"/>
  <c r="E15" i="4"/>
  <c r="J5" i="4"/>
  <c r="B8" i="3"/>
  <c r="D41" i="2"/>
  <c r="D31" i="2"/>
  <c r="D21" i="2"/>
  <c r="L18" i="2"/>
  <c r="L17" i="2"/>
  <c r="L16" i="2"/>
  <c r="L15" i="2"/>
  <c r="L14" i="2"/>
  <c r="L13" i="2"/>
  <c r="L12" i="2"/>
  <c r="L11" i="2"/>
  <c r="D11" i="2"/>
  <c r="L10" i="2"/>
  <c r="L9" i="2"/>
  <c r="L8" i="2"/>
  <c r="L6" i="2"/>
  <c r="L5" i="2"/>
  <c r="N25" i="6" l="1"/>
  <c r="N27" i="6" s="1"/>
  <c r="B4" i="7" s="1"/>
  <c r="D42" i="2"/>
  <c r="B4" i="3" s="1"/>
  <c r="B10" i="3" s="1"/>
  <c r="G16" i="7"/>
  <c r="L6" i="7"/>
  <c r="B6" i="7"/>
  <c r="H6" i="7"/>
  <c r="J6" i="7"/>
  <c r="E2" i="4" l="1"/>
  <c r="B18" i="3"/>
  <c r="B19" i="3" s="1"/>
  <c r="L10" i="7"/>
  <c r="L7" i="7"/>
  <c r="L14" i="7"/>
  <c r="L11" i="7"/>
  <c r="L9" i="7"/>
  <c r="L13" i="7"/>
  <c r="L8" i="7"/>
  <c r="J13" i="7"/>
  <c r="J8" i="7"/>
  <c r="J14" i="7"/>
  <c r="J11" i="7"/>
  <c r="J9" i="7"/>
  <c r="J10" i="7"/>
  <c r="J7" i="7"/>
  <c r="H14" i="7"/>
  <c r="H11" i="7"/>
  <c r="H9" i="7"/>
  <c r="H10" i="7"/>
  <c r="H7" i="7"/>
  <c r="H13" i="7"/>
  <c r="H15" i="7" s="1"/>
  <c r="H8" i="7"/>
  <c r="B11" i="7"/>
  <c r="B18" i="7"/>
  <c r="F6" i="7"/>
  <c r="B12" i="3"/>
  <c r="J15" i="7" l="1"/>
  <c r="B21" i="3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23" i="7" l="1"/>
  <c r="B24" i="7" s="1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<sst xmlns="http://schemas.openxmlformats.org/spreadsheetml/2006/main" count="327" uniqueCount="241">
  <si>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</si>
  <si>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</si>
  <si>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</si>
  <si>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</si>
  <si>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</si>
  <si>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</si>
  <si>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</si>
  <si>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</si>
  <si>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</si>
  <si>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</si>
  <si>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</si>
  <si>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</si>
  <si>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</si>
  <si>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</si>
  <si>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</si>
  <si>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</si>
  <si>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</si>
  <si>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</si>
  <si>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</si>
  <si>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</si>
  <si>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</si>
  <si>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</si>
  <si>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</si>
  <si>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</si>
  <si>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</si>
  <si>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</si>
  <si>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</si>
  <si>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</si>
  <si>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</si>
  <si>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Aplicar Checlist da fase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</si>
  <si>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</si>
  <si>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</si>
  <si>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</si>
  <si>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</si>
  <si>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</si>
  <si>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</si>
  <si>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</si>
  <si>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</si>
  <si>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</si>
  <si>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</si>
  <si>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</si>
  <si>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Modelar o UC XXX...</t>
  </si>
  <si>
    <t>Modelar, Implementart e Testar o UC XXX</t>
  </si>
  <si>
    <t>Modelar UC YYY</t>
  </si>
  <si>
    <t>Modelar, Implementart e Testar o UC YYY</t>
  </si>
  <si>
    <t>incluir os demais casos de uso do escopo...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</si>
  <si>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</si>
  <si>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</si>
  <si>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</si>
  <si>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</si>
  <si>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</si>
  <si>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</si>
  <si>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</si>
  <si>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</si>
  <si>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</si>
  <si>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</si>
  <si>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</si>
  <si>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</si>
  <si>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</si>
  <si>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</si>
  <si>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</si>
  <si>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</si>
  <si>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</si>
  <si>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</si>
  <si>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</si>
  <si>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</si>
  <si>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</si>
  <si>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</si>
  <si>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</si>
  <si>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</si>
  <si>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</si>
  <si>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</si>
  <si>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</si>
  <si>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</si>
  <si>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</si>
  <si>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</si>
  <si>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</si>
  <si>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</si>
  <si>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</si>
  <si>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</si>
  <si>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</si>
  <si>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</si>
  <si>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</si>
  <si>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</si>
  <si>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</si>
  <si>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</si>
  <si>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</si>
  <si>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</si>
  <si>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</si>
  <si>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</si>
  <si>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</si>
  <si>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</si>
  <si>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</si>
  <si>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</si>
  <si>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Release-9.9.9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</si>
  <si>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</si>
  <si>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</si>
  <si>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</si>
  <si>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</si>
  <si>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</si>
  <si>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</si>
  <si>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</si>
  <si>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</si>
  <si>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</si>
  <si>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</si>
  <si>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</si>
  <si>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</si>
  <si>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</si>
  <si>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</si>
  <si>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</si>
  <si>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</si>
  <si>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</si>
  <si>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</si>
  <si>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</si>
  <si>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</si>
  <si>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</si>
  <si>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</si>
  <si>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</si>
  <si>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</si>
  <si>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</si>
  <si>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</si>
  <si>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</si>
  <si>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</si>
  <si>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</si>
  <si>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</si>
  <si>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</si>
  <si>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</si>
  <si>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</si>
  <si>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</si>
  <si>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</si>
  <si>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</si>
  <si>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</si>
  <si>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</si>
  <si>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</si>
  <si>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</si>
  <si>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</si>
  <si>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</si>
  <si>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</si>
  <si>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</si>
  <si>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</si>
  <si>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</si>
  <si>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</si>
  <si>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</si>
  <si>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</si>
  <si>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</si>
  <si>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</si>
  <si>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</si>
  <si>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</si>
  <si>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</si>
  <si>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</si>
  <si>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</si>
  <si>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</si>
  <si>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</si>
  <si>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</si>
  <si>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</si>
  <si>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</si>
  <si>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</si>
  <si>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</si>
  <si>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</si>
  <si>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</si>
  <si>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</si>
  <si>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</si>
  <si>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</si>
  <si>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</si>
  <si>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</si>
  <si>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</si>
  <si>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</si>
  <si>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</si>
  <si>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</si>
  <si>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</si>
  <si>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</si>
  <si>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</si>
  <si>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</si>
  <si>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</si>
  <si>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</si>
  <si>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</si>
  <si>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</si>
  <si>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</si>
  <si>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</si>
  <si>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</si>
  <si>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</si>
  <si>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</si>
  <si>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</si>
  <si>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</si>
  <si>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</si>
  <si>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</si>
  <si>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</si>
  <si>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</si>
  <si>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</si>
  <si>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</si>
  <si>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</si>
  <si>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</si>
  <si>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</si>
  <si>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</si>
  <si>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</si>
  <si>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</si>
  <si>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</si>
  <si>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</si>
  <si>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</si>
  <si>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</si>
  <si>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</si>
  <si>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</si>
  <si>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</si>
  <si>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</si>
  <si>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</si>
  <si>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</si>
  <si>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</si>
  <si>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</si>
  <si>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</si>
  <si>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</si>
  <si>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</si>
  <si>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</si>
  <si>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</si>
  <si>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</si>
  <si>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</si>
  <si>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</si>
  <si>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</si>
  <si>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</si>
  <si>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</si>
  <si>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</si>
  <si>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</si>
  <si>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</si>
  <si>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</si>
  <si>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</si>
  <si>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Amanda Krishna Miranda Santos</t>
  </si>
  <si>
    <t>amandakrishnam@gmail.com</t>
  </si>
  <si>
    <t>Edson Murakami</t>
  </si>
  <si>
    <t>Lucas Stocco</t>
  </si>
  <si>
    <t>murakami@ifsp.edu.br</t>
  </si>
  <si>
    <t>stocco.l@aluno.ifsp.edu.br</t>
  </si>
  <si>
    <t>&lt;GQ-SPINOFF&gt; - &lt;Gerenciamento de Qualidade Spinoff&gt;</t>
  </si>
  <si>
    <t>1. Executar horas-extras
2. Prazo definido para antes da data de entrega</t>
  </si>
  <si>
    <t>O prazo de conclusão entre foi definido para antes da data de entrega oficial</t>
  </si>
  <si>
    <t>Especificar, Analisar e Projetar UC07 (escolhido para testar a arquitetura)</t>
  </si>
  <si>
    <t>UC01</t>
  </si>
  <si>
    <t>UC02</t>
  </si>
  <si>
    <t>UC03</t>
  </si>
  <si>
    <t>UC04</t>
  </si>
  <si>
    <t>UC05</t>
  </si>
  <si>
    <t>Diagrama de arquitetura</t>
  </si>
  <si>
    <t>UC01 - Gerenciar checklist de verificação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</si>
</sst>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i/>
      <sz val="9"/>
      <color rgb="FF0000FF"/>
      <name val="Arial"/>
      <family val="2"/>
    </font>
    <font>
      <i/>
      <sz val="9"/>
      <color rgb="FF0000FF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i/>
      <u/>
      <sz val="9"/>
      <color rgb="FF0000FF"/>
      <name val="Arial"/>
      <family val="2"/>
    </font>
    <font>
      <b/>
      <i/>
      <u/>
      <sz val="9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41" fillId="0" borderId="0" applyNumberFormat="0" applyFill="0" applyBorder="0" applyAlignment="0" applyProtection="0"/>
  </cellStyleXfs>
  <cellXfs count="169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6" fillId="3" borderId="1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19" fillId="9" borderId="1" xfId="10" applyFont="1" applyFill="1" applyBorder="1" applyAlignment="1" applyProtection="1">
      <alignment horizontal="left"/>
      <protection locked="0"/>
    </xf>
    <xf numFmtId="164" fontId="20" fillId="9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21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21" fillId="6" borderId="1" xfId="10" applyFont="1" applyFill="1" applyBorder="1" applyProtection="1"/>
    <xf numFmtId="164" fontId="21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4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5" fillId="6" borderId="1" xfId="10" applyFont="1" applyFill="1" applyBorder="1" applyProtection="1"/>
    <xf numFmtId="165" fontId="25" fillId="6" borderId="1" xfId="10" applyNumberFormat="1" applyFont="1" applyFill="1" applyBorder="1" applyAlignment="1" applyProtection="1">
      <alignment horizontal="center"/>
    </xf>
    <xf numFmtId="164" fontId="25" fillId="6" borderId="1" xfId="10" applyFont="1" applyFill="1" applyBorder="1" applyAlignment="1" applyProtection="1">
      <alignment horizontal="left"/>
    </xf>
    <xf numFmtId="165" fontId="21" fillId="6" borderId="1" xfId="10" applyNumberFormat="1" applyFont="1" applyFill="1" applyBorder="1" applyAlignment="1" applyProtection="1">
      <alignment horizontal="center"/>
    </xf>
    <xf numFmtId="168" fontId="24" fillId="3" borderId="1" xfId="9" applyFont="1" applyFill="1" applyBorder="1" applyAlignment="1" applyProtection="1">
      <alignment horizontal="center"/>
      <protection locked="0"/>
    </xf>
    <xf numFmtId="164" fontId="24" fillId="6" borderId="1" xfId="10" applyFont="1" applyFill="1" applyBorder="1" applyAlignment="1" applyProtection="1">
      <alignment horizontal="left"/>
    </xf>
    <xf numFmtId="168" fontId="24" fillId="6" borderId="1" xfId="9" applyFont="1" applyFill="1" applyBorder="1" applyAlignment="1" applyProtection="1">
      <alignment horizontal="center"/>
    </xf>
    <xf numFmtId="168" fontId="24" fillId="6" borderId="1" xfId="10" applyNumberFormat="1" applyFont="1" applyFill="1" applyBorder="1" applyAlignment="1" applyProtection="1">
      <alignment horizontal="center"/>
    </xf>
    <xf numFmtId="164" fontId="26" fillId="6" borderId="1" xfId="10" applyFont="1" applyFill="1" applyBorder="1" applyProtection="1"/>
    <xf numFmtId="168" fontId="26" fillId="6" borderId="1" xfId="10" applyNumberFormat="1" applyFont="1" applyFill="1" applyBorder="1" applyProtection="1"/>
    <xf numFmtId="168" fontId="24" fillId="6" borderId="1" xfId="10" applyNumberFormat="1" applyFont="1" applyFill="1" applyBorder="1" applyProtection="1"/>
    <xf numFmtId="164" fontId="22" fillId="5" borderId="1" xfId="10" applyFont="1" applyFill="1" applyBorder="1" applyAlignment="1" applyProtection="1">
      <alignment horizontal="left"/>
    </xf>
    <xf numFmtId="165" fontId="22" fillId="5" borderId="1" xfId="10" applyNumberFormat="1" applyFont="1" applyFill="1" applyBorder="1" applyAlignment="1" applyProtection="1">
      <alignment horizontal="center"/>
    </xf>
    <xf numFmtId="164" fontId="28" fillId="10" borderId="3" xfId="10" applyFont="1" applyFill="1" applyBorder="1" applyAlignment="1" applyProtection="1">
      <alignment horizontal="left"/>
    </xf>
    <xf numFmtId="165" fontId="28" fillId="10" borderId="7" xfId="10" applyNumberFormat="1" applyFont="1" applyFill="1" applyBorder="1" applyAlignment="1" applyProtection="1">
      <alignment horizontal="center"/>
    </xf>
    <xf numFmtId="164" fontId="28" fillId="10" borderId="7" xfId="10" applyFont="1" applyFill="1" applyBorder="1" applyAlignment="1" applyProtection="1">
      <alignment horizontal="left"/>
    </xf>
    <xf numFmtId="164" fontId="28" fillId="10" borderId="1" xfId="10" applyFont="1" applyFill="1" applyBorder="1" applyAlignment="1" applyProtection="1">
      <alignment horizontal="center"/>
    </xf>
    <xf numFmtId="164" fontId="28" fillId="10" borderId="7" xfId="10" applyFont="1" applyFill="1" applyBorder="1" applyAlignment="1" applyProtection="1">
      <alignment horizontal="center" vertical="center"/>
    </xf>
    <xf numFmtId="164" fontId="28" fillId="10" borderId="7" xfId="10" applyFont="1" applyFill="1" applyBorder="1" applyAlignment="1" applyProtection="1">
      <alignment horizontal="center"/>
    </xf>
    <xf numFmtId="164" fontId="28" fillId="10" borderId="1" xfId="10" applyFont="1" applyFill="1" applyBorder="1" applyAlignment="1" applyProtection="1">
      <alignment horizontal="center" vertical="center"/>
    </xf>
    <xf numFmtId="164" fontId="24" fillId="6" borderId="1" xfId="10" applyFont="1" applyFill="1" applyBorder="1" applyAlignment="1" applyProtection="1">
      <alignment horizontal="center"/>
      <protection locked="0"/>
    </xf>
    <xf numFmtId="164" fontId="29" fillId="3" borderId="1" xfId="10" applyFont="1" applyFill="1" applyBorder="1" applyAlignment="1" applyProtection="1">
      <alignment horizontal="left" wrapText="1"/>
      <protection locked="0"/>
    </xf>
    <xf numFmtId="169" fontId="29" fillId="9" borderId="1" xfId="10" applyNumberFormat="1" applyFont="1" applyFill="1" applyBorder="1" applyAlignment="1" applyProtection="1">
      <alignment horizontal="center"/>
      <protection locked="0"/>
    </xf>
    <xf numFmtId="170" fontId="29" fillId="9" borderId="1" xfId="8" applyNumberFormat="1" applyFont="1" applyFill="1" applyBorder="1" applyAlignment="1" applyProtection="1">
      <alignment horizontal="center" vertical="center"/>
      <protection locked="0"/>
    </xf>
    <xf numFmtId="164" fontId="30" fillId="3" borderId="1" xfId="10" applyFont="1" applyFill="1" applyBorder="1" applyProtection="1">
      <protection locked="0"/>
    </xf>
    <xf numFmtId="170" fontId="29" fillId="11" borderId="1" xfId="8" applyNumberFormat="1" applyFont="1" applyFill="1" applyBorder="1" applyAlignment="1" applyProtection="1">
      <alignment horizontal="center" vertical="center"/>
      <protection locked="0"/>
    </xf>
    <xf numFmtId="164" fontId="29" fillId="3" borderId="1" xfId="10" applyFont="1" applyFill="1" applyBorder="1" applyAlignment="1" applyProtection="1">
      <alignment horizontal="center"/>
      <protection locked="0"/>
    </xf>
    <xf numFmtId="171" fontId="29" fillId="9" borderId="1" xfId="8" applyNumberFormat="1" applyFont="1" applyFill="1" applyBorder="1" applyAlignment="1" applyProtection="1">
      <alignment horizontal="center" vertical="center"/>
      <protection locked="0"/>
    </xf>
    <xf numFmtId="171" fontId="29" fillId="11" borderId="1" xfId="8" applyNumberFormat="1" applyFont="1" applyFill="1" applyBorder="1" applyAlignment="1" applyProtection="1">
      <alignment horizontal="center" vertical="center"/>
      <protection locked="0"/>
    </xf>
    <xf numFmtId="164" fontId="24" fillId="3" borderId="1" xfId="10" applyFont="1" applyFill="1" applyBorder="1" applyAlignment="1" applyProtection="1">
      <alignment horizontal="left" wrapText="1"/>
      <protection locked="0"/>
    </xf>
    <xf numFmtId="169" fontId="24" fillId="9" borderId="1" xfId="10" applyNumberFormat="1" applyFont="1" applyFill="1" applyBorder="1" applyAlignment="1" applyProtection="1">
      <alignment horizontal="center"/>
      <protection locked="0"/>
    </xf>
    <xf numFmtId="171" fontId="24" fillId="9" borderId="1" xfId="8" applyNumberFormat="1" applyFont="1" applyFill="1" applyBorder="1" applyAlignment="1" applyProtection="1">
      <alignment horizontal="center" vertical="center"/>
      <protection locked="0"/>
    </xf>
    <xf numFmtId="164" fontId="31" fillId="3" borderId="1" xfId="10" applyFont="1" applyFill="1" applyBorder="1" applyProtection="1">
      <protection locked="0"/>
    </xf>
    <xf numFmtId="171" fontId="24" fillId="11" borderId="1" xfId="8" applyNumberFormat="1" applyFont="1" applyFill="1" applyBorder="1" applyAlignment="1" applyProtection="1">
      <alignment horizontal="center" vertical="center"/>
      <protection locked="0"/>
    </xf>
    <xf numFmtId="164" fontId="24" fillId="3" borderId="1" xfId="10" applyFont="1" applyFill="1" applyBorder="1" applyAlignment="1" applyProtection="1">
      <alignment horizontal="center"/>
      <protection locked="0"/>
    </xf>
    <xf numFmtId="164" fontId="24" fillId="0" borderId="8" xfId="10" applyFont="1" applyBorder="1" applyAlignment="1" applyProtection="1">
      <alignment horizontal="left"/>
    </xf>
    <xf numFmtId="164" fontId="24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4" fillId="0" borderId="8" xfId="10" applyNumberFormat="1" applyFont="1" applyBorder="1" applyProtection="1"/>
    <xf numFmtId="164" fontId="24" fillId="0" borderId="0" xfId="10" applyFont="1" applyProtection="1"/>
    <xf numFmtId="170" fontId="24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32" fillId="12" borderId="0" xfId="10" applyFont="1" applyFill="1" applyAlignment="1" applyProtection="1">
      <alignment wrapText="1"/>
    </xf>
    <xf numFmtId="164" fontId="33" fillId="13" borderId="1" xfId="10" applyFont="1" applyFill="1" applyBorder="1" applyAlignment="1" applyProtection="1">
      <alignment wrapText="1"/>
    </xf>
    <xf numFmtId="164" fontId="32" fillId="12" borderId="1" xfId="10" applyFont="1" applyFill="1" applyBorder="1" applyAlignment="1" applyProtection="1">
      <alignment wrapText="1"/>
    </xf>
    <xf numFmtId="164" fontId="32" fillId="12" borderId="0" xfId="10" applyFont="1" applyFill="1" applyAlignment="1" applyProtection="1">
      <alignment horizontal="left" wrapText="1"/>
    </xf>
    <xf numFmtId="164" fontId="32" fillId="12" borderId="1" xfId="10" applyFont="1" applyFill="1" applyBorder="1" applyAlignment="1" applyProtection="1">
      <alignment horizontal="left" wrapText="1"/>
    </xf>
    <xf numFmtId="164" fontId="32" fillId="12" borderId="6" xfId="10" applyFont="1" applyFill="1" applyBorder="1" applyAlignment="1" applyProtection="1">
      <alignment wrapText="1"/>
    </xf>
    <xf numFmtId="164" fontId="33" fillId="13" borderId="6" xfId="10" applyFont="1" applyFill="1" applyBorder="1" applyAlignment="1" applyProtection="1">
      <alignment vertical="center" wrapText="1"/>
    </xf>
    <xf numFmtId="164" fontId="33" fillId="13" borderId="9" xfId="10" applyFont="1" applyFill="1" applyBorder="1" applyAlignment="1" applyProtection="1">
      <alignment horizontal="center" vertical="center" wrapText="1"/>
    </xf>
    <xf numFmtId="164" fontId="33" fillId="12" borderId="0" xfId="10" applyFont="1" applyFill="1" applyAlignment="1" applyProtection="1">
      <alignment horizontal="center" vertical="center" wrapText="1"/>
    </xf>
    <xf numFmtId="164" fontId="33" fillId="15" borderId="1" xfId="10" applyFont="1" applyFill="1" applyBorder="1" applyAlignment="1" applyProtection="1">
      <alignment horizontal="center" vertical="center" wrapText="1"/>
    </xf>
    <xf numFmtId="164" fontId="32" fillId="12" borderId="0" xfId="10" applyFont="1" applyFill="1" applyAlignment="1" applyProtection="1">
      <alignment vertical="top" wrapText="1"/>
    </xf>
    <xf numFmtId="165" fontId="32" fillId="3" borderId="1" xfId="10" applyNumberFormat="1" applyFont="1" applyFill="1" applyBorder="1" applyAlignment="1" applyProtection="1">
      <alignment horizontal="center" vertical="center" wrapText="1"/>
    </xf>
    <xf numFmtId="165" fontId="32" fillId="3" borderId="1" xfId="10" applyNumberFormat="1" applyFont="1" applyFill="1" applyBorder="1" applyAlignment="1" applyProtection="1">
      <alignment horizontal="left" vertical="center" wrapText="1"/>
    </xf>
    <xf numFmtId="166" fontId="32" fillId="14" borderId="1" xfId="10" applyNumberFormat="1" applyFont="1" applyFill="1" applyBorder="1" applyAlignment="1" applyProtection="1">
      <alignment horizontal="center" vertical="center" wrapText="1"/>
    </xf>
    <xf numFmtId="164" fontId="32" fillId="14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 wrapText="1"/>
    </xf>
    <xf numFmtId="164" fontId="32" fillId="14" borderId="1" xfId="10" applyFont="1" applyFill="1" applyBorder="1" applyAlignment="1" applyProtection="1">
      <alignment vertical="top" wrapText="1"/>
    </xf>
    <xf numFmtId="164" fontId="32" fillId="14" borderId="4" xfId="10" applyFont="1" applyFill="1" applyBorder="1" applyAlignment="1" applyProtection="1">
      <alignment vertical="top" wrapText="1"/>
    </xf>
    <xf numFmtId="164" fontId="32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6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7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8" fillId="5" borderId="1" xfId="10" applyFont="1" applyFill="1" applyBorder="1" applyAlignment="1" applyProtection="1">
      <alignment horizontal="right" vertical="center" wrapText="1"/>
    </xf>
    <xf numFmtId="165" fontId="35" fillId="5" borderId="1" xfId="10" applyNumberFormat="1" applyFont="1" applyFill="1" applyBorder="1" applyAlignment="1" applyProtection="1">
      <alignment horizontal="center" vertical="center"/>
    </xf>
    <xf numFmtId="164" fontId="37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31" fillId="6" borderId="1" xfId="10" applyFont="1" applyFill="1" applyBorder="1" applyProtection="1"/>
    <xf numFmtId="164" fontId="37" fillId="6" borderId="1" xfId="10" applyFont="1" applyFill="1" applyBorder="1" applyAlignment="1" applyProtection="1">
      <alignment horizontal="left"/>
    </xf>
    <xf numFmtId="165" fontId="31" fillId="6" borderId="1" xfId="10" applyNumberFormat="1" applyFont="1" applyFill="1" applyBorder="1" applyAlignment="1" applyProtection="1">
      <alignment horizontal="center"/>
    </xf>
    <xf numFmtId="165" fontId="24" fillId="6" borderId="1" xfId="10" applyNumberFormat="1" applyFont="1" applyFill="1" applyBorder="1" applyAlignment="1" applyProtection="1">
      <alignment horizontal="center"/>
    </xf>
    <xf numFmtId="167" fontId="24" fillId="3" borderId="1" xfId="11" applyFont="1" applyFill="1" applyBorder="1" applyAlignment="1" applyProtection="1">
      <alignment horizontal="center"/>
      <protection locked="0"/>
    </xf>
    <xf numFmtId="164" fontId="24" fillId="6" borderId="1" xfId="10" applyFont="1" applyFill="1" applyBorder="1" applyProtection="1"/>
    <xf numFmtId="165" fontId="21" fillId="0" borderId="1" xfId="10" applyNumberFormat="1" applyFont="1" applyBorder="1" applyAlignment="1" applyProtection="1">
      <alignment horizontal="center" vertical="center"/>
    </xf>
    <xf numFmtId="164" fontId="22" fillId="10" borderId="1" xfId="10" applyFont="1" applyFill="1" applyBorder="1" applyProtection="1"/>
    <xf numFmtId="164" fontId="22" fillId="10" borderId="1" xfId="10" applyFont="1" applyFill="1" applyBorder="1" applyAlignment="1" applyProtection="1">
      <alignment horizontal="center"/>
    </xf>
    <xf numFmtId="165" fontId="37" fillId="6" borderId="1" xfId="10" applyNumberFormat="1" applyFont="1" applyFill="1" applyBorder="1" applyAlignment="1" applyProtection="1">
      <alignment horizontal="center"/>
    </xf>
    <xf numFmtId="164" fontId="31" fillId="16" borderId="1" xfId="10" applyFont="1" applyFill="1" applyBorder="1" applyProtection="1"/>
    <xf numFmtId="165" fontId="31" fillId="16" borderId="1" xfId="10" applyNumberFormat="1" applyFont="1" applyFill="1" applyBorder="1" applyAlignment="1" applyProtection="1">
      <alignment horizontal="center"/>
    </xf>
    <xf numFmtId="167" fontId="31" fillId="16" borderId="1" xfId="11" applyFont="1" applyFill="1" applyBorder="1" applyAlignment="1" applyProtection="1">
      <alignment horizontal="center"/>
    </xf>
    <xf numFmtId="165" fontId="22" fillId="10" borderId="1" xfId="10" applyNumberFormat="1" applyFont="1" applyFill="1" applyBorder="1" applyAlignment="1" applyProtection="1">
      <alignment horizontal="center"/>
    </xf>
    <xf numFmtId="165" fontId="26" fillId="12" borderId="1" xfId="10" applyNumberFormat="1" applyFont="1" applyFill="1" applyBorder="1" applyAlignment="1" applyProtection="1">
      <alignment horizontal="center"/>
    </xf>
    <xf numFmtId="167" fontId="40" fillId="6" borderId="1" xfId="11" applyFont="1" applyFill="1" applyBorder="1" applyAlignment="1" applyProtection="1">
      <alignment horizontal="center"/>
    </xf>
    <xf numFmtId="165" fontId="26" fillId="0" borderId="1" xfId="10" applyNumberFormat="1" applyFont="1" applyBorder="1" applyAlignment="1" applyProtection="1">
      <alignment horizontal="center" vertical="center"/>
    </xf>
    <xf numFmtId="168" fontId="31" fillId="3" borderId="1" xfId="9" applyFont="1" applyFill="1" applyBorder="1" applyAlignment="1" applyProtection="1">
      <alignment horizontal="center"/>
      <protection locked="0"/>
    </xf>
    <xf numFmtId="168" fontId="21" fillId="6" borderId="1" xfId="10" applyNumberFormat="1" applyFont="1" applyFill="1" applyBorder="1" applyProtection="1"/>
    <xf numFmtId="164" fontId="41" fillId="3" borderId="1" xfId="16" applyNumberFormat="1" applyFill="1" applyBorder="1" applyProtection="1">
      <protection locked="0"/>
    </xf>
    <xf numFmtId="164" fontId="42" fillId="9" borderId="1" xfId="10" applyFont="1" applyFill="1" applyBorder="1" applyAlignment="1" applyProtection="1">
      <alignment horizontal="left"/>
      <protection locked="0"/>
    </xf>
    <xf numFmtId="164" fontId="31" fillId="6" borderId="1" xfId="10" applyFont="1" applyFill="1" applyBorder="1" applyAlignment="1" applyProtection="1">
      <alignment horizontal="center"/>
    </xf>
    <xf numFmtId="164" fontId="39" fillId="5" borderId="7" xfId="10" applyFont="1" applyFill="1" applyBorder="1" applyAlignment="1" applyProtection="1">
      <alignment horizontal="center"/>
    </xf>
    <xf numFmtId="164" fontId="35" fillId="5" borderId="1" xfId="10" applyFont="1" applyFill="1" applyBorder="1" applyAlignment="1" applyProtection="1">
      <alignment horizontal="center"/>
    </xf>
    <xf numFmtId="164" fontId="31" fillId="6" borderId="1" xfId="10" applyFont="1" applyFill="1" applyBorder="1" applyAlignment="1" applyProtection="1">
      <alignment horizontal="center" vertical="center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22" fillId="5" borderId="1" xfId="10" applyFont="1" applyFill="1" applyBorder="1" applyAlignment="1" applyProtection="1">
      <alignment horizontal="center"/>
    </xf>
    <xf numFmtId="164" fontId="22" fillId="5" borderId="7" xfId="10" applyFont="1" applyFill="1" applyBorder="1" applyAlignment="1" applyProtection="1">
      <alignment horizontal="center"/>
    </xf>
    <xf numFmtId="164" fontId="27" fillId="5" borderId="3" xfId="10" applyFont="1" applyFill="1" applyBorder="1" applyAlignment="1" applyProtection="1">
      <alignment horizontal="center"/>
    </xf>
    <xf numFmtId="164" fontId="22" fillId="5" borderId="1" xfId="10" applyFont="1" applyFill="1" applyBorder="1" applyAlignment="1" applyProtection="1">
      <alignment horizontal="left"/>
    </xf>
    <xf numFmtId="165" fontId="28" fillId="10" borderId="1" xfId="10" applyNumberFormat="1" applyFont="1" applyFill="1" applyBorder="1" applyAlignment="1" applyProtection="1">
      <alignment horizontal="center"/>
    </xf>
    <xf numFmtId="164" fontId="28" fillId="10" borderId="1" xfId="10" applyFont="1" applyFill="1" applyBorder="1" applyAlignment="1" applyProtection="1">
      <alignment horizontal="center"/>
    </xf>
    <xf numFmtId="164" fontId="33" fillId="15" borderId="1" xfId="10" applyFont="1" applyFill="1" applyBorder="1" applyAlignment="1" applyProtection="1">
      <alignment horizontal="center" vertical="center" wrapText="1"/>
    </xf>
    <xf numFmtId="0" fontId="0" fillId="14" borderId="1" xfId="0" applyFill="1" applyBorder="1"/>
    <xf numFmtId="164" fontId="34" fillId="5" borderId="3" xfId="10" applyFont="1" applyFill="1" applyBorder="1" applyAlignment="1" applyProtection="1">
      <alignment horizontal="center"/>
    </xf>
    <xf numFmtId="164" fontId="33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33" fillId="15" borderId="4" xfId="10" applyFont="1" applyFill="1" applyBorder="1" applyAlignment="1" applyProtection="1">
      <alignment horizontal="center" vertical="center" wrapText="1"/>
    </xf>
    <xf numFmtId="164" fontId="32" fillId="12" borderId="1" xfId="10" applyFont="1" applyFill="1" applyBorder="1" applyAlignment="1" applyProtection="1">
      <alignment horizontal="center" wrapText="1"/>
    </xf>
    <xf numFmtId="164" fontId="33" fillId="13" borderId="1" xfId="10" applyFont="1" applyFill="1" applyBorder="1" applyAlignment="1" applyProtection="1">
      <alignment horizontal="center" wrapText="1"/>
    </xf>
    <xf numFmtId="164" fontId="33" fillId="10" borderId="1" xfId="10" applyFont="1" applyFill="1" applyBorder="1" applyAlignment="1" applyProtection="1">
      <alignment horizontal="center" wrapText="1"/>
    </xf>
    <xf numFmtId="164" fontId="32" fillId="3" borderId="1" xfId="10" applyFont="1" applyFill="1" applyBorder="1" applyAlignment="1" applyProtection="1">
      <alignment horizontal="center" wrapText="1"/>
    </xf>
    <xf numFmtId="164" fontId="32" fillId="14" borderId="1" xfId="10" applyFont="1" applyFill="1" applyBorder="1" applyAlignment="1" applyProtection="1">
      <alignment horizontal="center" wrapText="1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43" fillId="9" borderId="1" xfId="10" applyFont="1" applyFill="1" applyBorder="1" applyAlignment="1" applyProtection="1">
      <alignment horizontal="left"/>
      <protection locked="0"/>
    </xf>
  </cellXfs>
  <cellStyles count="17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iperlink" xfId="16" builtinId="8"/>
    <cellStyle name="Normal" xfId="0" builtinId="0" customBuiltin="1"/>
    <cellStyle name="Result" xfId="14" xr:uid="{6F03FC13-A797-4115-B488-D5132E8D2E66}"/>
    <cellStyle name="Result2" xfId="15" xr:uid="{8B643F58-BFEA-4FDF-8CA6-D5886F8338D7}"/>
  </cellStyles>
  <dxfs count="10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b/>
        <family val="2"/>
      </font>
    </dxf>
    <dxf>
      <font>
        <color rgb="FF666699"/>
        <family val="2"/>
      </font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occo.l@aluno.ifsp.edu.br" TargetMode="External"/><Relationship Id="rId2" Type="http://schemas.openxmlformats.org/officeDocument/2006/relationships/hyperlink" Target="mailto:murakami@ifsp.edu.br" TargetMode="External"/><Relationship Id="rId1" Type="http://schemas.openxmlformats.org/officeDocument/2006/relationships/hyperlink" Target="mailto:amandakrishnam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B6" sqref="B6"/>
    </sheetView>
  </sheetViews>
  <sheetFormatPr defaultRowHeight="14.4" x14ac:dyDescent="0.3"/>
  <cols>
    <col min="1" max="1" width="21.59765625" style="1" customWidth="1"/>
    <col min="2" max="2" width="44.69921875" style="1" customWidth="1"/>
    <col min="3" max="3" width="29.5" style="1" customWidth="1"/>
    <col min="4" max="1024" width="8.09765625" style="1" customWidth="1"/>
    <col min="1025" max="1025" width="9" customWidth="1"/>
  </cols>
  <sheetData>
    <row r="1" spans="1:3" ht="20.399999999999999" x14ac:dyDescent="0.3">
      <c r="A1" s="136" t="s">
        <v>0</v>
      </c>
      <c r="B1" s="136"/>
      <c r="C1" s="136"/>
    </row>
    <row r="2" spans="1:3" ht="24.6" x14ac:dyDescent="0.3">
      <c r="A2" s="137" t="s">
        <v>230</v>
      </c>
      <c r="B2" s="137"/>
      <c r="C2" s="137"/>
    </row>
    <row r="3" spans="1:3" ht="15" x14ac:dyDescent="0.3">
      <c r="A3" s="2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3" t="s">
        <v>224</v>
      </c>
      <c r="C4" s="130" t="s">
        <v>225</v>
      </c>
    </row>
    <row r="5" spans="1:3" x14ac:dyDescent="0.3">
      <c r="A5" s="3" t="s">
        <v>5</v>
      </c>
      <c r="B5" s="3" t="s">
        <v>226</v>
      </c>
      <c r="C5" s="130" t="s">
        <v>228</v>
      </c>
    </row>
    <row r="6" spans="1:3" x14ac:dyDescent="0.3">
      <c r="A6" s="3" t="s">
        <v>6</v>
      </c>
      <c r="B6" s="3" t="s">
        <v>227</v>
      </c>
      <c r="C6" s="130" t="s">
        <v>229</v>
      </c>
    </row>
    <row r="7" spans="1:3" x14ac:dyDescent="0.3">
      <c r="A7" s="3"/>
      <c r="B7" s="3"/>
      <c r="C7" s="3"/>
    </row>
    <row r="8" spans="1:3" x14ac:dyDescent="0.3">
      <c r="A8" s="3"/>
      <c r="B8" s="3"/>
      <c r="C8" s="3"/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  <row r="17" spans="1:3" x14ac:dyDescent="0.3">
      <c r="A17" s="3"/>
      <c r="B17" s="3"/>
      <c r="C17" s="3"/>
    </row>
  </sheetData>
  <mergeCells count="2">
    <mergeCell ref="A1:C1"/>
    <mergeCell ref="A2:C2"/>
  </mergeCells>
  <hyperlinks>
    <hyperlink ref="C4" r:id="rId1" xr:uid="{7E2EB4D8-72D0-429E-BCFB-D5B06A752C28}"/>
    <hyperlink ref="C5" r:id="rId2" xr:uid="{B55A6582-9EB3-4971-90CD-10DF2F3FF81C}"/>
    <hyperlink ref="C6" r:id="rId3" xr:uid="{1C89E7A9-3EA2-4701-8A37-2886F8637E65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42"/>
  <sheetViews>
    <sheetView tabSelected="1" workbookViewId="0">
      <selection activeCell="C15" sqref="C15"/>
    </sheetView>
  </sheetViews>
  <sheetFormatPr defaultRowHeight="14.4" x14ac:dyDescent="0.25"/>
  <cols>
    <col min="1" max="1" width="10.19921875" style="23" customWidth="1"/>
    <col min="2" max="2" width="11.59765625" style="4" customWidth="1"/>
    <col min="3" max="3" width="64.19921875" style="4" customWidth="1"/>
    <col min="4" max="4" width="8.69921875" style="21" customWidth="1"/>
    <col min="5" max="5" width="1.59765625" style="4" customWidth="1"/>
    <col min="6" max="6" width="4.19921875" style="4" customWidth="1"/>
    <col min="7" max="7" width="18.8984375" style="4" customWidth="1"/>
    <col min="8" max="9" width="8.5" style="4" customWidth="1"/>
    <col min="10" max="10" width="10.69921875" style="4" customWidth="1"/>
    <col min="11" max="11" width="11.8984375" style="4" customWidth="1"/>
    <col min="12" max="1024" width="8.5" style="4" customWidth="1"/>
    <col min="1025" max="1025" width="9" customWidth="1"/>
  </cols>
  <sheetData>
    <row r="1" spans="1:12" ht="12" customHeight="1" x14ac:dyDescent="0.25">
      <c r="A1" s="140" t="s">
        <v>7</v>
      </c>
      <c r="B1" s="140"/>
      <c r="C1" s="140"/>
      <c r="D1" s="140"/>
      <c r="F1" s="141" t="s">
        <v>8</v>
      </c>
      <c r="G1" s="141"/>
      <c r="H1" s="141"/>
      <c r="I1" s="141"/>
      <c r="J1" s="141"/>
      <c r="K1" s="141"/>
      <c r="L1" s="141"/>
    </row>
    <row r="2" spans="1:12" ht="42" customHeight="1" x14ac:dyDescent="0.25">
      <c r="A2" s="142" t="s">
        <v>9</v>
      </c>
      <c r="B2" s="142"/>
      <c r="C2" s="142"/>
      <c r="D2" s="142"/>
      <c r="F2" s="143" t="s">
        <v>10</v>
      </c>
      <c r="G2" s="143"/>
      <c r="H2" s="143"/>
      <c r="I2" s="143"/>
      <c r="J2" s="143"/>
      <c r="K2" s="143"/>
      <c r="L2" s="143"/>
    </row>
    <row r="3" spans="1:12" ht="24" customHeight="1" x14ac:dyDescent="0.25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44" t="s">
        <v>8</v>
      </c>
      <c r="I3" s="144"/>
      <c r="J3" s="144"/>
      <c r="K3" s="144"/>
      <c r="L3" s="144"/>
    </row>
    <row r="4" spans="1:12" ht="24" customHeight="1" x14ac:dyDescent="0.25">
      <c r="A4" s="138" t="s">
        <v>16</v>
      </c>
      <c r="B4" s="138"/>
      <c r="C4" s="138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2" ht="13.8" x14ac:dyDescent="0.25">
      <c r="A5" s="10">
        <v>1</v>
      </c>
      <c r="B5" s="11" t="s">
        <v>16</v>
      </c>
      <c r="C5" s="12" t="s">
        <v>25</v>
      </c>
      <c r="D5" s="13">
        <v>10</v>
      </c>
      <c r="F5" s="14">
        <v>1</v>
      </c>
      <c r="G5" s="12" t="s">
        <v>234</v>
      </c>
      <c r="H5" s="15">
        <v>5</v>
      </c>
      <c r="I5" s="15">
        <v>0</v>
      </c>
      <c r="J5" s="15">
        <v>0</v>
      </c>
      <c r="K5" s="15">
        <v>3</v>
      </c>
      <c r="L5" s="16">
        <f>SUM(H5:K5)</f>
        <v>8</v>
      </c>
    </row>
    <row r="6" spans="1:12" ht="13.8" x14ac:dyDescent="0.25">
      <c r="A6" s="10">
        <v>2</v>
      </c>
      <c r="B6" s="11" t="s">
        <v>16</v>
      </c>
      <c r="C6" s="12" t="s">
        <v>26</v>
      </c>
      <c r="D6" s="13">
        <v>10</v>
      </c>
      <c r="F6" s="14">
        <v>2</v>
      </c>
      <c r="G6" s="12" t="s">
        <v>235</v>
      </c>
      <c r="H6" s="15">
        <v>5</v>
      </c>
      <c r="I6" s="15">
        <v>0</v>
      </c>
      <c r="J6" s="15">
        <v>5</v>
      </c>
      <c r="K6" s="15">
        <v>5</v>
      </c>
      <c r="L6" s="16">
        <f>SUM(H6:K6)</f>
        <v>15</v>
      </c>
    </row>
    <row r="7" spans="1:12" ht="13.8" x14ac:dyDescent="0.25">
      <c r="A7" s="10">
        <v>3</v>
      </c>
      <c r="B7" s="11" t="s">
        <v>16</v>
      </c>
      <c r="C7" s="12" t="s">
        <v>27</v>
      </c>
      <c r="D7" s="13">
        <v>6</v>
      </c>
      <c r="F7" s="14">
        <v>3</v>
      </c>
      <c r="G7" s="12" t="s">
        <v>236</v>
      </c>
      <c r="H7" s="15"/>
      <c r="I7" s="15"/>
      <c r="J7" s="15"/>
      <c r="K7" s="15"/>
      <c r="L7" s="16"/>
    </row>
    <row r="8" spans="1:12" ht="13.8" x14ac:dyDescent="0.25">
      <c r="A8" s="10">
        <v>4</v>
      </c>
      <c r="B8" s="11" t="s">
        <v>16</v>
      </c>
      <c r="C8" s="12" t="s">
        <v>28</v>
      </c>
      <c r="D8" s="13">
        <v>15</v>
      </c>
      <c r="F8" s="14">
        <v>4</v>
      </c>
      <c r="G8" s="12" t="s">
        <v>237</v>
      </c>
      <c r="H8" s="15"/>
      <c r="I8" s="15"/>
      <c r="J8" s="15"/>
      <c r="K8" s="15"/>
      <c r="L8" s="16">
        <f t="shared" ref="L8:L18" si="0">SUM(H8:K8)</f>
        <v>0</v>
      </c>
    </row>
    <row r="9" spans="1:12" ht="13.8" x14ac:dyDescent="0.25">
      <c r="A9" s="10">
        <v>5</v>
      </c>
      <c r="B9" s="11" t="s">
        <v>16</v>
      </c>
      <c r="C9" s="12" t="s">
        <v>29</v>
      </c>
      <c r="D9" s="13">
        <v>3</v>
      </c>
      <c r="F9" s="17">
        <v>5</v>
      </c>
      <c r="G9" s="12" t="s">
        <v>238</v>
      </c>
      <c r="H9" s="15"/>
      <c r="I9" s="15"/>
      <c r="J9" s="15"/>
      <c r="K9" s="15"/>
      <c r="L9" s="16">
        <f t="shared" si="0"/>
        <v>0</v>
      </c>
    </row>
    <row r="10" spans="1:12" ht="13.8" x14ac:dyDescent="0.25">
      <c r="A10" s="10">
        <v>6</v>
      </c>
      <c r="B10" s="11" t="s">
        <v>16</v>
      </c>
      <c r="C10" s="12" t="s">
        <v>30</v>
      </c>
      <c r="D10" s="13">
        <v>5</v>
      </c>
      <c r="F10" s="14"/>
      <c r="G10" s="12"/>
      <c r="H10" s="15"/>
      <c r="I10" s="15"/>
      <c r="J10" s="15"/>
      <c r="K10" s="15"/>
      <c r="L10" s="16">
        <f t="shared" si="0"/>
        <v>0</v>
      </c>
    </row>
    <row r="11" spans="1:12" ht="15" customHeight="1" x14ac:dyDescent="0.25">
      <c r="A11" s="138" t="s">
        <v>31</v>
      </c>
      <c r="B11" s="138"/>
      <c r="C11" s="138"/>
      <c r="D11" s="8">
        <f>SUM(D5:D10)</f>
        <v>49</v>
      </c>
      <c r="F11" s="17"/>
      <c r="G11" s="12"/>
      <c r="H11" s="15"/>
      <c r="I11" s="15"/>
      <c r="J11" s="15"/>
      <c r="K11" s="15"/>
      <c r="L11" s="16">
        <f t="shared" si="0"/>
        <v>0</v>
      </c>
    </row>
    <row r="12" spans="1:12" ht="13.8" x14ac:dyDescent="0.25">
      <c r="A12" s="10">
        <v>7</v>
      </c>
      <c r="B12" s="11" t="s">
        <v>31</v>
      </c>
      <c r="C12" s="12" t="s">
        <v>32</v>
      </c>
      <c r="D12" s="13">
        <v>2</v>
      </c>
      <c r="F12" s="17"/>
      <c r="G12" s="12"/>
      <c r="H12" s="15"/>
      <c r="I12" s="15"/>
      <c r="J12" s="15"/>
      <c r="K12" s="15"/>
      <c r="L12" s="16">
        <f t="shared" si="0"/>
        <v>0</v>
      </c>
    </row>
    <row r="13" spans="1:12" ht="13.8" x14ac:dyDescent="0.25">
      <c r="A13" s="10">
        <v>8</v>
      </c>
      <c r="B13" s="11" t="s">
        <v>31</v>
      </c>
      <c r="C13" s="12" t="s">
        <v>33</v>
      </c>
      <c r="D13" s="13">
        <v>10</v>
      </c>
      <c r="F13" s="17"/>
      <c r="G13" s="12"/>
      <c r="H13" s="15"/>
      <c r="I13" s="15"/>
      <c r="J13" s="15"/>
      <c r="K13" s="15"/>
      <c r="L13" s="16">
        <f t="shared" si="0"/>
        <v>0</v>
      </c>
    </row>
    <row r="14" spans="1:12" ht="13.8" x14ac:dyDescent="0.25">
      <c r="A14" s="10">
        <v>9</v>
      </c>
      <c r="B14" s="11" t="s">
        <v>31</v>
      </c>
      <c r="C14" s="18" t="s">
        <v>34</v>
      </c>
      <c r="D14" s="13">
        <v>2</v>
      </c>
      <c r="F14" s="17"/>
      <c r="G14" s="12"/>
      <c r="H14" s="15"/>
      <c r="I14" s="15"/>
      <c r="J14" s="15"/>
      <c r="K14" s="15"/>
      <c r="L14" s="16">
        <f t="shared" si="0"/>
        <v>0</v>
      </c>
    </row>
    <row r="15" spans="1:12" ht="13.8" x14ac:dyDescent="0.25">
      <c r="A15" s="10">
        <v>10</v>
      </c>
      <c r="B15" s="11" t="s">
        <v>31</v>
      </c>
      <c r="C15" s="168" t="s">
        <v>233</v>
      </c>
      <c r="D15" s="13">
        <v>10</v>
      </c>
      <c r="F15" s="17"/>
      <c r="G15" s="12"/>
      <c r="H15" s="15"/>
      <c r="I15" s="15"/>
      <c r="J15" s="15"/>
      <c r="K15" s="15"/>
      <c r="L15" s="16">
        <f t="shared" si="0"/>
        <v>0</v>
      </c>
    </row>
    <row r="16" spans="1:12" ht="13.8" x14ac:dyDescent="0.25">
      <c r="A16" s="10">
        <v>11</v>
      </c>
      <c r="B16" s="11" t="s">
        <v>31</v>
      </c>
      <c r="C16" s="131" t="s">
        <v>35</v>
      </c>
      <c r="D16" s="13">
        <v>10</v>
      </c>
      <c r="F16" s="17"/>
      <c r="G16" s="12"/>
      <c r="H16" s="15"/>
      <c r="I16" s="15"/>
      <c r="J16" s="15"/>
      <c r="K16" s="15"/>
      <c r="L16" s="16">
        <f t="shared" si="0"/>
        <v>0</v>
      </c>
    </row>
    <row r="17" spans="1:12" ht="13.8" x14ac:dyDescent="0.25">
      <c r="A17" s="10">
        <v>12</v>
      </c>
      <c r="B17" s="11" t="s">
        <v>31</v>
      </c>
      <c r="C17" s="18" t="s">
        <v>36</v>
      </c>
      <c r="D17" s="13">
        <v>4</v>
      </c>
      <c r="F17" s="17"/>
      <c r="G17" s="12"/>
      <c r="H17" s="15"/>
      <c r="I17" s="15"/>
      <c r="J17" s="15"/>
      <c r="K17" s="15"/>
      <c r="L17" s="16">
        <f t="shared" si="0"/>
        <v>0</v>
      </c>
    </row>
    <row r="18" spans="1:12" ht="13.8" x14ac:dyDescent="0.25">
      <c r="A18" s="10">
        <v>13</v>
      </c>
      <c r="B18" s="11" t="s">
        <v>31</v>
      </c>
      <c r="C18" s="18" t="s">
        <v>37</v>
      </c>
      <c r="D18" s="13">
        <v>12</v>
      </c>
      <c r="F18" s="17"/>
      <c r="G18" s="12"/>
      <c r="H18" s="15"/>
      <c r="I18" s="15"/>
      <c r="J18" s="15"/>
      <c r="K18" s="15"/>
      <c r="L18" s="16">
        <f t="shared" si="0"/>
        <v>0</v>
      </c>
    </row>
    <row r="19" spans="1:12" x14ac:dyDescent="0.25">
      <c r="A19" s="10">
        <v>14</v>
      </c>
      <c r="B19" s="11" t="s">
        <v>31</v>
      </c>
      <c r="C19" s="18" t="s">
        <v>38</v>
      </c>
      <c r="D19" s="13">
        <v>1</v>
      </c>
      <c r="H19" s="21"/>
      <c r="I19" s="21"/>
      <c r="J19" s="21"/>
      <c r="K19" s="21"/>
      <c r="L19" s="21"/>
    </row>
    <row r="20" spans="1:12" x14ac:dyDescent="0.25">
      <c r="A20" s="10">
        <v>15</v>
      </c>
      <c r="B20" s="11" t="s">
        <v>31</v>
      </c>
      <c r="C20" s="18" t="s">
        <v>39</v>
      </c>
      <c r="D20" s="13">
        <v>2</v>
      </c>
      <c r="H20" s="21"/>
      <c r="I20" s="21"/>
      <c r="J20" s="21"/>
      <c r="K20" s="21"/>
      <c r="L20" s="21"/>
    </row>
    <row r="21" spans="1:12" ht="15" customHeight="1" x14ac:dyDescent="0.25">
      <c r="A21" s="138" t="s">
        <v>40</v>
      </c>
      <c r="B21" s="138"/>
      <c r="C21" s="138"/>
      <c r="D21" s="8">
        <f>SUM(D12:D20)</f>
        <v>53</v>
      </c>
      <c r="H21" s="21"/>
      <c r="I21" s="21"/>
      <c r="J21" s="21"/>
      <c r="K21" s="21"/>
      <c r="L21" s="21"/>
    </row>
    <row r="22" spans="1:12" x14ac:dyDescent="0.25">
      <c r="A22" s="10">
        <v>16</v>
      </c>
      <c r="B22" s="11" t="s">
        <v>40</v>
      </c>
      <c r="C22" s="12" t="s">
        <v>32</v>
      </c>
      <c r="D22" s="13"/>
      <c r="H22" s="21"/>
      <c r="I22" s="21"/>
      <c r="J22" s="21"/>
      <c r="K22" s="21"/>
      <c r="L22" s="21"/>
    </row>
    <row r="23" spans="1:12" ht="13.8" x14ac:dyDescent="0.25">
      <c r="A23" s="10">
        <v>17</v>
      </c>
      <c r="B23" s="11" t="s">
        <v>40</v>
      </c>
      <c r="C23" s="19" t="s">
        <v>41</v>
      </c>
      <c r="D23" s="13"/>
    </row>
    <row r="24" spans="1:12" ht="13.8" x14ac:dyDescent="0.25">
      <c r="A24" s="10">
        <v>18</v>
      </c>
      <c r="B24" s="11" t="s">
        <v>40</v>
      </c>
      <c r="C24" s="20" t="s">
        <v>42</v>
      </c>
      <c r="D24" s="13"/>
    </row>
    <row r="25" spans="1:12" ht="13.8" x14ac:dyDescent="0.25">
      <c r="A25" s="10">
        <v>19</v>
      </c>
      <c r="B25" s="11" t="s">
        <v>40</v>
      </c>
      <c r="C25" s="19" t="s">
        <v>43</v>
      </c>
      <c r="D25" s="13"/>
    </row>
    <row r="26" spans="1:12" ht="13.8" x14ac:dyDescent="0.25">
      <c r="A26" s="10">
        <v>20</v>
      </c>
      <c r="B26" s="11" t="s">
        <v>40</v>
      </c>
      <c r="C26" s="20" t="s">
        <v>44</v>
      </c>
      <c r="D26" s="13"/>
    </row>
    <row r="27" spans="1:12" ht="13.8" x14ac:dyDescent="0.25">
      <c r="A27" s="10"/>
      <c r="B27" s="11"/>
      <c r="C27" s="19" t="s">
        <v>45</v>
      </c>
      <c r="D27" s="13"/>
    </row>
    <row r="28" spans="1:12" ht="13.8" x14ac:dyDescent="0.25">
      <c r="A28" s="10"/>
      <c r="B28" s="11"/>
      <c r="C28" s="19"/>
      <c r="D28" s="13"/>
    </row>
    <row r="29" spans="1:12" ht="13.8" x14ac:dyDescent="0.25">
      <c r="A29" s="10">
        <v>21</v>
      </c>
      <c r="B29" s="11" t="s">
        <v>40</v>
      </c>
      <c r="C29" s="18" t="s">
        <v>38</v>
      </c>
      <c r="D29" s="13"/>
    </row>
    <row r="30" spans="1:12" ht="13.8" x14ac:dyDescent="0.25">
      <c r="A30" s="10">
        <v>22</v>
      </c>
      <c r="B30" s="11" t="s">
        <v>40</v>
      </c>
      <c r="C30" s="18" t="s">
        <v>39</v>
      </c>
      <c r="D30" s="13"/>
    </row>
    <row r="31" spans="1:12" ht="15" customHeight="1" x14ac:dyDescent="0.25">
      <c r="A31" s="138" t="s">
        <v>46</v>
      </c>
      <c r="B31" s="138"/>
      <c r="C31" s="138"/>
      <c r="D31" s="8">
        <f>SUM(D22:D30)</f>
        <v>0</v>
      </c>
    </row>
    <row r="32" spans="1:12" ht="13.8" x14ac:dyDescent="0.25">
      <c r="A32" s="10">
        <v>23</v>
      </c>
      <c r="B32" s="11" t="s">
        <v>46</v>
      </c>
      <c r="C32" s="12" t="s">
        <v>32</v>
      </c>
      <c r="D32" s="13"/>
    </row>
    <row r="33" spans="1:4" ht="13.8" x14ac:dyDescent="0.25">
      <c r="A33" s="10">
        <v>24</v>
      </c>
      <c r="B33" s="11" t="s">
        <v>46</v>
      </c>
      <c r="C33" s="18" t="s">
        <v>47</v>
      </c>
      <c r="D33" s="13"/>
    </row>
    <row r="34" spans="1:4" ht="13.8" x14ac:dyDescent="0.25">
      <c r="A34" s="10">
        <v>25</v>
      </c>
      <c r="B34" s="11" t="s">
        <v>46</v>
      </c>
      <c r="C34" s="18" t="s">
        <v>48</v>
      </c>
      <c r="D34" s="13"/>
    </row>
    <row r="35" spans="1:4" ht="13.8" x14ac:dyDescent="0.25">
      <c r="A35" s="10">
        <v>26</v>
      </c>
      <c r="B35" s="11" t="s">
        <v>46</v>
      </c>
      <c r="C35" s="18" t="s">
        <v>49</v>
      </c>
      <c r="D35" s="13"/>
    </row>
    <row r="36" spans="1:4" ht="13.8" x14ac:dyDescent="0.25">
      <c r="A36" s="10">
        <v>27</v>
      </c>
      <c r="B36" s="11" t="s">
        <v>46</v>
      </c>
      <c r="C36" s="12" t="s">
        <v>50</v>
      </c>
      <c r="D36" s="13"/>
    </row>
    <row r="37" spans="1:4" ht="13.8" x14ac:dyDescent="0.25">
      <c r="A37" s="10">
        <v>28</v>
      </c>
      <c r="B37" s="11" t="s">
        <v>46</v>
      </c>
      <c r="C37" s="12" t="s">
        <v>51</v>
      </c>
      <c r="D37" s="13"/>
    </row>
    <row r="38" spans="1:4" ht="13.8" x14ac:dyDescent="0.25">
      <c r="A38" s="10">
        <v>29</v>
      </c>
      <c r="B38" s="11" t="s">
        <v>46</v>
      </c>
      <c r="C38" s="12" t="s">
        <v>52</v>
      </c>
      <c r="D38" s="13"/>
    </row>
    <row r="39" spans="1:4" ht="13.8" x14ac:dyDescent="0.25">
      <c r="A39" s="10">
        <v>30</v>
      </c>
      <c r="B39" s="11" t="s">
        <v>46</v>
      </c>
      <c r="C39" s="12" t="s">
        <v>53</v>
      </c>
      <c r="D39" s="13"/>
    </row>
    <row r="40" spans="1:4" ht="13.8" x14ac:dyDescent="0.25">
      <c r="A40" s="10">
        <v>31</v>
      </c>
      <c r="B40" s="22" t="s">
        <v>46</v>
      </c>
      <c r="C40" s="18" t="s">
        <v>38</v>
      </c>
      <c r="D40" s="13"/>
    </row>
    <row r="41" spans="1:4" ht="12" customHeight="1" x14ac:dyDescent="0.25">
      <c r="A41" s="139"/>
      <c r="B41" s="139"/>
      <c r="C41" s="139"/>
      <c r="D41" s="8">
        <f>SUM(D32:D40)</f>
        <v>0</v>
      </c>
    </row>
    <row r="42" spans="1:4" ht="15.6" x14ac:dyDescent="0.25">
      <c r="D42" s="24">
        <f>SUM(D11,D21,D31,D41)</f>
        <v>102</v>
      </c>
    </row>
  </sheetData>
  <mergeCells count="10">
    <mergeCell ref="F1:L1"/>
    <mergeCell ref="A2:D2"/>
    <mergeCell ref="F2:L2"/>
    <mergeCell ref="H3:L3"/>
    <mergeCell ref="A4:C4"/>
    <mergeCell ref="A11:C11"/>
    <mergeCell ref="A21:C21"/>
    <mergeCell ref="A31:C31"/>
    <mergeCell ref="A41:C41"/>
    <mergeCell ref="A1:D1"/>
  </mergeCells>
  <pageMargins left="0.70000000000000007" right="0.70000000000000007" top="1.1437007874015752" bottom="1.1437007874015752" header="0.75000000000000011" footer="0.75000000000000011"/>
  <pageSetup paperSize="9" fitToWidth="0" fitToHeight="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D11" sqref="D11"/>
    </sheetView>
  </sheetViews>
  <sheetFormatPr defaultRowHeight="14.4" x14ac:dyDescent="0.3"/>
  <cols>
    <col min="1" max="1" width="48.19921875" style="1" customWidth="1"/>
    <col min="2" max="2" width="15.5" style="25" customWidth="1"/>
    <col min="3" max="3" width="20.69921875" style="1" customWidth="1"/>
    <col min="4" max="1024" width="8.09765625" style="1" customWidth="1"/>
    <col min="1025" max="1025" width="9" customWidth="1"/>
  </cols>
  <sheetData>
    <row r="1" spans="1:5" ht="15.6" x14ac:dyDescent="0.3">
      <c r="A1" s="145" t="s">
        <v>54</v>
      </c>
      <c r="B1" s="145"/>
      <c r="C1" s="145"/>
    </row>
    <row r="2" spans="1:5" ht="7.5" customHeight="1" x14ac:dyDescent="0.3"/>
    <row r="3" spans="1:5" ht="15.6" x14ac:dyDescent="0.3">
      <c r="A3" s="146" t="s">
        <v>55</v>
      </c>
      <c r="B3" s="146"/>
      <c r="C3" s="146"/>
    </row>
    <row r="4" spans="1:5" ht="15.6" x14ac:dyDescent="0.3">
      <c r="A4" s="26" t="s">
        <v>56</v>
      </c>
      <c r="B4" s="27">
        <f>Backlog_Produto!$D$42</f>
        <v>102</v>
      </c>
      <c r="C4" s="26" t="s">
        <v>57</v>
      </c>
    </row>
    <row r="5" spans="1:5" x14ac:dyDescent="0.3">
      <c r="A5" s="28" t="s">
        <v>58</v>
      </c>
      <c r="B5" s="29">
        <v>0.4</v>
      </c>
      <c r="C5" s="28" t="s">
        <v>59</v>
      </c>
      <c r="E5" s="1" t="s">
        <v>60</v>
      </c>
    </row>
    <row r="6" spans="1:5" x14ac:dyDescent="0.3">
      <c r="A6" s="30" t="s">
        <v>61</v>
      </c>
      <c r="B6" s="31">
        <v>2</v>
      </c>
      <c r="C6" s="30"/>
    </row>
    <row r="7" spans="1:5" x14ac:dyDescent="0.3">
      <c r="A7" s="30" t="s">
        <v>62</v>
      </c>
      <c r="B7" s="31">
        <v>20</v>
      </c>
      <c r="C7" s="30" t="s">
        <v>57</v>
      </c>
    </row>
    <row r="8" spans="1:5" x14ac:dyDescent="0.3">
      <c r="A8" s="30" t="s">
        <v>63</v>
      </c>
      <c r="B8" s="32">
        <f>B6*B7*2</f>
        <v>80</v>
      </c>
      <c r="C8" s="30" t="s">
        <v>57</v>
      </c>
    </row>
    <row r="9" spans="1:5" ht="19.8" x14ac:dyDescent="0.4">
      <c r="A9" s="33" t="s">
        <v>64</v>
      </c>
      <c r="B9" s="34">
        <v>8</v>
      </c>
      <c r="C9" s="33" t="s">
        <v>65</v>
      </c>
    </row>
    <row r="10" spans="1:5" ht="19.8" x14ac:dyDescent="0.4">
      <c r="A10" s="35" t="s">
        <v>66</v>
      </c>
      <c r="B10" s="34">
        <f>B4+(B4*B5)</f>
        <v>142.80000000000001</v>
      </c>
      <c r="C10" s="35" t="s">
        <v>57</v>
      </c>
    </row>
    <row r="11" spans="1:5" x14ac:dyDescent="0.3">
      <c r="A11" s="30" t="s">
        <v>67</v>
      </c>
      <c r="B11" s="32">
        <v>12</v>
      </c>
      <c r="C11" s="30" t="s">
        <v>68</v>
      </c>
    </row>
    <row r="12" spans="1:5" ht="15.6" x14ac:dyDescent="0.3">
      <c r="A12" s="26" t="s">
        <v>69</v>
      </c>
      <c r="B12" s="36">
        <f>B11/4</f>
        <v>3</v>
      </c>
      <c r="C12" s="26" t="s">
        <v>70</v>
      </c>
    </row>
    <row r="14" spans="1:5" ht="15.6" x14ac:dyDescent="0.3">
      <c r="A14" s="146" t="s">
        <v>71</v>
      </c>
      <c r="B14" s="146"/>
      <c r="C14" s="146"/>
    </row>
    <row r="15" spans="1:5" x14ac:dyDescent="0.3">
      <c r="A15" s="30" t="s">
        <v>72</v>
      </c>
      <c r="B15" s="37">
        <v>25</v>
      </c>
      <c r="C15" s="38"/>
    </row>
    <row r="16" spans="1:5" x14ac:dyDescent="0.3">
      <c r="A16" s="30" t="s">
        <v>73</v>
      </c>
      <c r="B16" s="39">
        <v>900</v>
      </c>
      <c r="C16" s="38"/>
    </row>
    <row r="17" spans="1:3" x14ac:dyDescent="0.3">
      <c r="A17" s="30" t="s">
        <v>74</v>
      </c>
      <c r="B17" s="29">
        <v>0.2</v>
      </c>
      <c r="C17" s="38"/>
    </row>
    <row r="18" spans="1:3" x14ac:dyDescent="0.3">
      <c r="A18" s="30" t="s">
        <v>75</v>
      </c>
      <c r="B18" s="40">
        <f>B16*B17</f>
        <v>180</v>
      </c>
      <c r="C18" s="38"/>
    </row>
    <row r="19" spans="1:3" ht="18" x14ac:dyDescent="0.35">
      <c r="A19" s="41" t="s">
        <v>76</v>
      </c>
      <c r="B19" s="42">
        <f>B16+B18</f>
        <v>1080</v>
      </c>
      <c r="C19" s="38"/>
    </row>
    <row r="20" spans="1:3" x14ac:dyDescent="0.3">
      <c r="A20" s="30" t="s">
        <v>77</v>
      </c>
      <c r="B20" s="29">
        <v>0.2</v>
      </c>
      <c r="C20" s="38"/>
    </row>
    <row r="21" spans="1:3" x14ac:dyDescent="0.3">
      <c r="A21" s="30" t="s">
        <v>78</v>
      </c>
      <c r="B21" s="43">
        <f>B19*B20</f>
        <v>216</v>
      </c>
      <c r="C21" s="38"/>
    </row>
    <row r="22" spans="1:3" ht="18" x14ac:dyDescent="0.35">
      <c r="A22" s="41" t="s">
        <v>79</v>
      </c>
      <c r="B22" s="42">
        <f>B19+B21</f>
        <v>1296</v>
      </c>
      <c r="C22" s="38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6"/>
  <sheetViews>
    <sheetView workbookViewId="0">
      <selection activeCell="C21" sqref="C21"/>
    </sheetView>
  </sheetViews>
  <sheetFormatPr defaultRowHeight="13.8" x14ac:dyDescent="0.25"/>
  <cols>
    <col min="1" max="1" width="6.09765625" style="74" customWidth="1"/>
    <col min="2" max="2" width="45.19921875" style="4" customWidth="1"/>
    <col min="3" max="3" width="13.8984375" style="74" customWidth="1"/>
    <col min="4" max="6" width="13.09765625" style="4" customWidth="1"/>
    <col min="7" max="9" width="13" style="4" customWidth="1"/>
    <col min="10" max="10" width="13" style="23" customWidth="1"/>
    <col min="11" max="11" width="14.69921875" style="4" customWidth="1"/>
    <col min="12" max="1024" width="8.5" style="4" customWidth="1"/>
    <col min="1025" max="1025" width="9" customWidth="1"/>
  </cols>
  <sheetData>
    <row r="1" spans="1:11" ht="23.4" x14ac:dyDescent="0.45">
      <c r="A1" s="147" t="s">
        <v>80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 ht="15.6" x14ac:dyDescent="0.3">
      <c r="A2" s="148" t="s">
        <v>81</v>
      </c>
      <c r="B2" s="148"/>
      <c r="C2" s="148"/>
      <c r="D2" s="148"/>
      <c r="E2" s="44">
        <f>Planejamento!$B$10</f>
        <v>142.80000000000001</v>
      </c>
      <c r="F2" s="45"/>
      <c r="G2" s="148" t="s">
        <v>81</v>
      </c>
      <c r="H2" s="148"/>
      <c r="I2" s="148"/>
      <c r="J2" s="148"/>
      <c r="K2" s="44"/>
    </row>
    <row r="3" spans="1:11" ht="14.4" x14ac:dyDescent="0.3">
      <c r="A3" s="46"/>
      <c r="B3" s="47"/>
      <c r="C3" s="149" t="s">
        <v>82</v>
      </c>
      <c r="D3" s="149"/>
      <c r="E3" s="149"/>
      <c r="F3" s="48"/>
      <c r="G3" s="150" t="s">
        <v>83</v>
      </c>
      <c r="H3" s="150"/>
      <c r="I3" s="150"/>
      <c r="J3" s="50"/>
      <c r="K3" s="51"/>
    </row>
    <row r="4" spans="1:11" ht="14.4" x14ac:dyDescent="0.3">
      <c r="A4" s="49" t="s">
        <v>84</v>
      </c>
      <c r="B4" s="49" t="s">
        <v>85</v>
      </c>
      <c r="C4" s="49" t="s">
        <v>86</v>
      </c>
      <c r="D4" s="49" t="s">
        <v>87</v>
      </c>
      <c r="E4" s="49" t="s">
        <v>17</v>
      </c>
      <c r="F4" s="49" t="s">
        <v>88</v>
      </c>
      <c r="G4" s="49" t="s">
        <v>86</v>
      </c>
      <c r="H4" s="49" t="s">
        <v>89</v>
      </c>
      <c r="I4" s="49" t="s">
        <v>17</v>
      </c>
      <c r="J4" s="52" t="s">
        <v>90</v>
      </c>
      <c r="K4" s="49" t="s">
        <v>91</v>
      </c>
    </row>
    <row r="5" spans="1:11" ht="14.4" x14ac:dyDescent="0.3">
      <c r="A5" s="53">
        <v>1</v>
      </c>
      <c r="B5" s="54" t="s">
        <v>92</v>
      </c>
      <c r="C5" s="55">
        <v>46092</v>
      </c>
      <c r="D5" s="55">
        <v>46113</v>
      </c>
      <c r="E5" s="56">
        <v>24</v>
      </c>
      <c r="F5" s="57" t="s">
        <v>93</v>
      </c>
      <c r="G5" s="55">
        <v>46092</v>
      </c>
      <c r="H5" s="55">
        <v>46118</v>
      </c>
      <c r="I5" s="56">
        <v>28</v>
      </c>
      <c r="J5" s="58">
        <f>E5-I5</f>
        <v>-4</v>
      </c>
      <c r="K5" s="59" t="s">
        <v>94</v>
      </c>
    </row>
    <row r="6" spans="1:11" ht="14.4" x14ac:dyDescent="0.3">
      <c r="A6" s="53">
        <v>2</v>
      </c>
      <c r="B6" s="54" t="s">
        <v>239</v>
      </c>
      <c r="C6" s="55">
        <v>46120</v>
      </c>
      <c r="D6" s="55">
        <v>46127</v>
      </c>
      <c r="E6" s="60">
        <v>10</v>
      </c>
      <c r="F6" s="57" t="s">
        <v>95</v>
      </c>
      <c r="G6" s="55"/>
      <c r="H6" s="55"/>
      <c r="I6" s="60"/>
      <c r="J6" s="61"/>
      <c r="K6" s="59"/>
    </row>
    <row r="7" spans="1:11" ht="14.4" x14ac:dyDescent="0.3">
      <c r="A7" s="53">
        <v>3</v>
      </c>
      <c r="B7" s="54" t="s">
        <v>240</v>
      </c>
      <c r="C7" s="55"/>
      <c r="D7" s="55"/>
      <c r="E7" s="60"/>
      <c r="F7" s="57" t="s">
        <v>95</v>
      </c>
      <c r="G7" s="55"/>
      <c r="H7" s="55"/>
      <c r="I7" s="60"/>
      <c r="J7" s="61"/>
      <c r="K7" s="59"/>
    </row>
    <row r="8" spans="1:11" ht="14.4" x14ac:dyDescent="0.3">
      <c r="A8" s="53">
        <v>4</v>
      </c>
      <c r="B8" s="62"/>
      <c r="C8" s="63"/>
      <c r="D8" s="63"/>
      <c r="E8" s="64"/>
      <c r="F8" s="65"/>
      <c r="G8" s="63"/>
      <c r="H8" s="63"/>
      <c r="I8" s="64"/>
      <c r="J8" s="66"/>
      <c r="K8" s="67"/>
    </row>
    <row r="9" spans="1:11" ht="14.4" x14ac:dyDescent="0.3">
      <c r="A9" s="53">
        <v>5</v>
      </c>
      <c r="B9" s="62"/>
      <c r="C9" s="63"/>
      <c r="D9" s="63"/>
      <c r="E9" s="64"/>
      <c r="F9" s="65"/>
      <c r="G9" s="63"/>
      <c r="H9" s="63"/>
      <c r="I9" s="64"/>
      <c r="J9" s="66"/>
      <c r="K9" s="67"/>
    </row>
    <row r="10" spans="1:11" ht="14.4" x14ac:dyDescent="0.3">
      <c r="A10" s="53">
        <v>6</v>
      </c>
      <c r="B10" s="62"/>
      <c r="C10" s="63"/>
      <c r="D10" s="63"/>
      <c r="E10" s="64"/>
      <c r="F10" s="65"/>
      <c r="G10" s="63"/>
      <c r="H10" s="63"/>
      <c r="I10" s="64"/>
      <c r="J10" s="66"/>
      <c r="K10" s="67"/>
    </row>
    <row r="11" spans="1:11" ht="14.4" x14ac:dyDescent="0.3">
      <c r="A11" s="53">
        <v>7</v>
      </c>
      <c r="B11" s="62"/>
      <c r="C11" s="63"/>
      <c r="D11" s="63"/>
      <c r="E11" s="64"/>
      <c r="F11" s="65"/>
      <c r="G11" s="63"/>
      <c r="H11" s="63"/>
      <c r="I11" s="64"/>
      <c r="J11" s="66"/>
      <c r="K11" s="67"/>
    </row>
    <row r="12" spans="1:11" ht="14.4" x14ac:dyDescent="0.3">
      <c r="A12" s="53">
        <v>8</v>
      </c>
      <c r="B12" s="62"/>
      <c r="C12" s="63"/>
      <c r="D12" s="63"/>
      <c r="E12" s="64"/>
      <c r="F12" s="65"/>
      <c r="G12" s="63"/>
      <c r="H12" s="63"/>
      <c r="I12" s="64"/>
      <c r="J12" s="66"/>
      <c r="K12" s="67"/>
    </row>
    <row r="13" spans="1:11" ht="14.4" x14ac:dyDescent="0.3">
      <c r="A13" s="53">
        <v>9</v>
      </c>
      <c r="B13" s="62"/>
      <c r="C13" s="63"/>
      <c r="D13" s="63"/>
      <c r="E13" s="64"/>
      <c r="F13" s="65"/>
      <c r="G13" s="63"/>
      <c r="H13" s="63"/>
      <c r="I13" s="64"/>
      <c r="J13" s="66"/>
      <c r="K13" s="67"/>
    </row>
    <row r="14" spans="1:11" ht="14.4" x14ac:dyDescent="0.3">
      <c r="A14" s="53">
        <v>10</v>
      </c>
      <c r="B14" s="62"/>
      <c r="C14" s="63"/>
      <c r="D14" s="63"/>
      <c r="E14" s="64"/>
      <c r="F14" s="65"/>
      <c r="G14" s="63"/>
      <c r="H14" s="63"/>
      <c r="I14" s="64"/>
      <c r="J14" s="66"/>
      <c r="K14" s="67"/>
    </row>
    <row r="15" spans="1:11" ht="14.4" x14ac:dyDescent="0.3">
      <c r="A15" s="68"/>
      <c r="B15" s="69"/>
      <c r="C15" s="70"/>
      <c r="D15" s="69"/>
      <c r="E15" s="71">
        <f>SUM(E5:E14)</f>
        <v>34</v>
      </c>
      <c r="F15" s="69"/>
      <c r="G15" s="72"/>
      <c r="H15" s="72"/>
      <c r="I15" s="71">
        <f>SUM(I5:I14)</f>
        <v>28</v>
      </c>
      <c r="J15" s="73">
        <f>SUM(J5:J14)</f>
        <v>-4</v>
      </c>
      <c r="K15" s="72"/>
    </row>
    <row r="16" spans="1:11" s="4" customFormat="1" ht="12" x14ac:dyDescent="0.25">
      <c r="J16" s="23"/>
    </row>
  </sheetData>
  <mergeCells count="5">
    <mergeCell ref="A1:K1"/>
    <mergeCell ref="A2:D2"/>
    <mergeCell ref="G2:J2"/>
    <mergeCell ref="C3:E3"/>
    <mergeCell ref="G3:I3"/>
  </mergeCells>
  <conditionalFormatting sqref="A5:D14">
    <cfRule type="expression" dxfId="9" priority="8" stopIfTrue="1">
      <formula>OR($F5="Planned",$F5="Unplanned")</formula>
    </cfRule>
    <cfRule type="expression" dxfId="8" priority="9" stopIfTrue="1">
      <formula>$F5="Ongoing"</formula>
    </cfRule>
  </conditionalFormatting>
  <conditionalFormatting sqref="F5:F14">
    <cfRule type="expression" dxfId="7" priority="3" stopIfTrue="1">
      <formula>$F5="Planned"</formula>
    </cfRule>
    <cfRule type="expression" dxfId="6" priority="4" stopIfTrue="1">
      <formula>$F5="Ongoing"</formula>
    </cfRule>
    <cfRule type="cellIs" dxfId="5" priority="5" stopIfTrue="1" operator="equal">
      <formula>"Unplanned"</formula>
    </cfRule>
  </conditionalFormatting>
  <conditionalFormatting sqref="G5:H14">
    <cfRule type="expression" dxfId="4" priority="1" stopIfTrue="1">
      <formula>OR($F5="Planned",$F5="Unplanned")</formula>
    </cfRule>
    <cfRule type="expression" dxfId="3" priority="2" stopIfTrue="1">
      <formula>$F5="Ongoing"</formula>
    </cfRule>
  </conditionalFormatting>
  <dataValidations count="1">
    <dataValidation type="list" allowBlank="1" showInputMessage="1" showErrorMessage="1" sqref="F5:F14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60"/>
  <sheetViews>
    <sheetView topLeftCell="A42" workbookViewId="0">
      <selection activeCell="B56" sqref="B56"/>
    </sheetView>
  </sheetViews>
  <sheetFormatPr defaultRowHeight="13.8" x14ac:dyDescent="0.25"/>
  <cols>
    <col min="1" max="1" width="5.59765625" style="76" customWidth="1"/>
    <col min="2" max="2" width="35.59765625" style="76" customWidth="1"/>
    <col min="3" max="3" width="6.5" style="76" customWidth="1"/>
    <col min="4" max="4" width="13.19921875" style="76" customWidth="1"/>
    <col min="5" max="5" width="8.8984375" style="76" customWidth="1"/>
    <col min="6" max="6" width="12.5" style="76" customWidth="1"/>
    <col min="7" max="7" width="9.09765625" style="76" customWidth="1"/>
    <col min="8" max="9" width="12.19921875" style="76" customWidth="1"/>
    <col min="10" max="10" width="24.19921875" style="76" customWidth="1"/>
    <col min="11" max="11" width="27.8984375" style="76" customWidth="1"/>
    <col min="12" max="12" width="8.5" style="76" customWidth="1"/>
    <col min="13" max="14" width="20.5" style="76" customWidth="1"/>
    <col min="15" max="256" width="8.5" style="76" customWidth="1"/>
    <col min="257" max="258" width="6.5" style="76" customWidth="1"/>
    <col min="259" max="259" width="13.8984375" style="76" customWidth="1"/>
    <col min="260" max="260" width="9" style="76" customWidth="1"/>
    <col min="261" max="261" width="13.5" style="76" customWidth="1"/>
    <col min="262" max="262" width="10" style="76" customWidth="1"/>
    <col min="263" max="263" width="12.19921875" style="76" customWidth="1"/>
    <col min="264" max="264" width="5.8984375" style="76" customWidth="1"/>
    <col min="265" max="265" width="24.19921875" style="76" customWidth="1"/>
    <col min="266" max="266" width="32.5" style="76" customWidth="1"/>
    <col min="267" max="267" width="17.59765625" style="76" customWidth="1"/>
    <col min="268" max="268" width="8.5" style="76" customWidth="1"/>
    <col min="269" max="270" width="20.5" style="76" customWidth="1"/>
    <col min="271" max="512" width="8.5" style="76" customWidth="1"/>
    <col min="513" max="514" width="6.5" style="76" customWidth="1"/>
    <col min="515" max="515" width="13.8984375" style="76" customWidth="1"/>
    <col min="516" max="516" width="9" style="76" customWidth="1"/>
    <col min="517" max="517" width="13.5" style="76" customWidth="1"/>
    <col min="518" max="518" width="10" style="76" customWidth="1"/>
    <col min="519" max="519" width="12.19921875" style="76" customWidth="1"/>
    <col min="520" max="520" width="5.8984375" style="76" customWidth="1"/>
    <col min="521" max="521" width="24.19921875" style="76" customWidth="1"/>
    <col min="522" max="522" width="32.5" style="76" customWidth="1"/>
    <col min="523" max="523" width="17.59765625" style="76" customWidth="1"/>
    <col min="524" max="524" width="8.5" style="76" customWidth="1"/>
    <col min="525" max="526" width="20.5" style="76" customWidth="1"/>
    <col min="527" max="768" width="8.5" style="76" customWidth="1"/>
    <col min="769" max="770" width="6.5" style="76" customWidth="1"/>
    <col min="771" max="771" width="13.8984375" style="76" customWidth="1"/>
    <col min="772" max="772" width="9" style="76" customWidth="1"/>
    <col min="773" max="773" width="13.5" style="76" customWidth="1"/>
    <col min="774" max="774" width="10" style="76" customWidth="1"/>
    <col min="775" max="775" width="12.19921875" style="76" customWidth="1"/>
    <col min="776" max="776" width="5.8984375" style="76" customWidth="1"/>
    <col min="777" max="777" width="24.19921875" style="76" customWidth="1"/>
    <col min="778" max="778" width="32.5" style="76" customWidth="1"/>
    <col min="779" max="779" width="17.59765625" style="76" customWidth="1"/>
    <col min="780" max="780" width="8.5" style="76" customWidth="1"/>
    <col min="781" max="782" width="20.5" style="76" customWidth="1"/>
    <col min="783" max="1024" width="8.5" style="76" customWidth="1"/>
    <col min="1025" max="1025" width="9" customWidth="1"/>
  </cols>
  <sheetData>
    <row r="1" spans="1:11" s="75" customFormat="1" ht="21" customHeight="1" x14ac:dyDescent="0.45">
      <c r="A1" s="147" t="s">
        <v>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 hidden="1" x14ac:dyDescent="0.25"/>
    <row r="3" spans="1:11" hidden="1" x14ac:dyDescent="0.25">
      <c r="D3" s="77" t="s">
        <v>97</v>
      </c>
    </row>
    <row r="4" spans="1:11" ht="21" hidden="1" x14ac:dyDescent="0.25">
      <c r="D4" s="78" t="s">
        <v>98</v>
      </c>
    </row>
    <row r="5" spans="1:11" hidden="1" x14ac:dyDescent="0.25">
      <c r="D5" s="78" t="s">
        <v>99</v>
      </c>
    </row>
    <row r="6" spans="1:11" hidden="1" x14ac:dyDescent="0.25">
      <c r="D6" s="78" t="s">
        <v>100</v>
      </c>
    </row>
    <row r="7" spans="1:11" ht="21" hidden="1" x14ac:dyDescent="0.25">
      <c r="D7" s="78" t="s">
        <v>101</v>
      </c>
    </row>
    <row r="8" spans="1:11" hidden="1" x14ac:dyDescent="0.25">
      <c r="D8" s="78" t="s">
        <v>102</v>
      </c>
    </row>
    <row r="9" spans="1:11" hidden="1" x14ac:dyDescent="0.25">
      <c r="D9" s="78" t="s">
        <v>103</v>
      </c>
    </row>
    <row r="10" spans="1:11" hidden="1" x14ac:dyDescent="0.25">
      <c r="D10" s="78" t="s">
        <v>104</v>
      </c>
    </row>
    <row r="11" spans="1:11" hidden="1" x14ac:dyDescent="0.25">
      <c r="D11" s="78" t="s">
        <v>105</v>
      </c>
    </row>
    <row r="12" spans="1:11" hidden="1" x14ac:dyDescent="0.25">
      <c r="D12" s="78" t="s">
        <v>106</v>
      </c>
    </row>
    <row r="13" spans="1:11" ht="21" hidden="1" x14ac:dyDescent="0.25">
      <c r="D13" s="78" t="s">
        <v>107</v>
      </c>
    </row>
    <row r="14" spans="1:11" ht="21" hidden="1" x14ac:dyDescent="0.25">
      <c r="D14" s="77" t="s">
        <v>108</v>
      </c>
    </row>
    <row r="15" spans="1:11" hidden="1" x14ac:dyDescent="0.25">
      <c r="D15" s="78" t="s">
        <v>109</v>
      </c>
    </row>
    <row r="16" spans="1:11" hidden="1" x14ac:dyDescent="0.25">
      <c r="D16" s="78" t="s">
        <v>110</v>
      </c>
    </row>
    <row r="17" spans="4:4" hidden="1" x14ac:dyDescent="0.25">
      <c r="D17" s="78" t="s">
        <v>111</v>
      </c>
    </row>
    <row r="18" spans="4:4" hidden="1" x14ac:dyDescent="0.25">
      <c r="D18" s="77" t="s">
        <v>112</v>
      </c>
    </row>
    <row r="19" spans="4:4" hidden="1" x14ac:dyDescent="0.25">
      <c r="D19" s="78" t="s">
        <v>113</v>
      </c>
    </row>
    <row r="20" spans="4:4" hidden="1" x14ac:dyDescent="0.25">
      <c r="D20" s="78" t="s">
        <v>114</v>
      </c>
    </row>
    <row r="21" spans="4:4" hidden="1" x14ac:dyDescent="0.25">
      <c r="D21" s="78" t="s">
        <v>115</v>
      </c>
    </row>
    <row r="22" spans="4:4" hidden="1" x14ac:dyDescent="0.25">
      <c r="D22" s="77" t="s">
        <v>116</v>
      </c>
    </row>
    <row r="23" spans="4:4" hidden="1" x14ac:dyDescent="0.25">
      <c r="D23" s="78" t="s">
        <v>117</v>
      </c>
    </row>
    <row r="24" spans="4:4" hidden="1" x14ac:dyDescent="0.25">
      <c r="D24" s="78" t="s">
        <v>118</v>
      </c>
    </row>
    <row r="25" spans="4:4" hidden="1" x14ac:dyDescent="0.25">
      <c r="D25" s="78" t="s">
        <v>119</v>
      </c>
    </row>
    <row r="26" spans="4:4" hidden="1" x14ac:dyDescent="0.25">
      <c r="D26" s="78" t="s">
        <v>120</v>
      </c>
    </row>
    <row r="27" spans="4:4" hidden="1" x14ac:dyDescent="0.25">
      <c r="D27" s="77" t="s">
        <v>121</v>
      </c>
    </row>
    <row r="28" spans="4:4" hidden="1" x14ac:dyDescent="0.25">
      <c r="D28" s="78" t="s">
        <v>122</v>
      </c>
    </row>
    <row r="29" spans="4:4" hidden="1" x14ac:dyDescent="0.25">
      <c r="D29" s="78" t="s">
        <v>123</v>
      </c>
    </row>
    <row r="30" spans="4:4" hidden="1" x14ac:dyDescent="0.25">
      <c r="D30" s="78" t="s">
        <v>124</v>
      </c>
    </row>
    <row r="31" spans="4:4" s="79" customFormat="1" ht="10.199999999999999" hidden="1" x14ac:dyDescent="0.2">
      <c r="D31" s="80" t="s">
        <v>125</v>
      </c>
    </row>
    <row r="32" spans="4:4" hidden="1" x14ac:dyDescent="0.25">
      <c r="D32" s="81" t="s">
        <v>126</v>
      </c>
    </row>
    <row r="33" spans="1:11" ht="22.5" hidden="1" customHeight="1" x14ac:dyDescent="0.25">
      <c r="D33" s="158" t="s">
        <v>127</v>
      </c>
      <c r="E33" s="158"/>
    </row>
    <row r="34" spans="1:11" hidden="1" x14ac:dyDescent="0.25">
      <c r="D34" s="78">
        <v>4290</v>
      </c>
      <c r="E34" s="78" t="s">
        <v>128</v>
      </c>
    </row>
    <row r="35" spans="1:11" ht="21" hidden="1" x14ac:dyDescent="0.25">
      <c r="D35" s="78">
        <v>5082</v>
      </c>
      <c r="E35" s="78" t="s">
        <v>129</v>
      </c>
    </row>
    <row r="36" spans="1:11" ht="21" hidden="1" x14ac:dyDescent="0.25">
      <c r="D36" s="78">
        <v>4356</v>
      </c>
      <c r="E36" s="78" t="s">
        <v>130</v>
      </c>
    </row>
    <row r="37" spans="1:11" ht="21" hidden="1" x14ac:dyDescent="0.25">
      <c r="D37" s="78">
        <v>5929</v>
      </c>
      <c r="E37" s="78" t="s">
        <v>131</v>
      </c>
    </row>
    <row r="38" spans="1:11" hidden="1" x14ac:dyDescent="0.25">
      <c r="D38" s="78">
        <v>5005</v>
      </c>
      <c r="E38" s="78" t="s">
        <v>132</v>
      </c>
    </row>
    <row r="39" spans="1:11" hidden="1" x14ac:dyDescent="0.25">
      <c r="D39" s="78">
        <v>4225</v>
      </c>
      <c r="E39" s="78" t="s">
        <v>133</v>
      </c>
    </row>
    <row r="40" spans="1:11" ht="8.25" customHeight="1" x14ac:dyDescent="0.25"/>
    <row r="41" spans="1:11" s="75" customFormat="1" ht="12.75" customHeight="1" x14ac:dyDescent="0.3">
      <c r="A41" s="159" t="s">
        <v>134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</row>
    <row r="42" spans="1:11" s="75" customFormat="1" ht="12.75" customHeight="1" x14ac:dyDescent="0.3">
      <c r="A42" s="160" t="s">
        <v>135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</row>
    <row r="43" spans="1:11" s="75" customFormat="1" ht="15" customHeight="1" x14ac:dyDescent="0.3">
      <c r="A43" s="161" t="s">
        <v>136</v>
      </c>
      <c r="B43" s="161"/>
      <c r="C43" s="161"/>
      <c r="D43" s="161"/>
      <c r="E43" s="161"/>
      <c r="F43" s="161"/>
      <c r="G43" s="161"/>
      <c r="H43" s="161"/>
      <c r="I43" s="161"/>
      <c r="J43" s="161"/>
      <c r="K43" s="161"/>
    </row>
    <row r="44" spans="1:11" s="75" customFormat="1" ht="15.75" customHeight="1" x14ac:dyDescent="0.3">
      <c r="A44" s="157" t="s">
        <v>137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</row>
    <row r="45" spans="1:11" ht="9" customHeight="1" x14ac:dyDescent="0.25"/>
    <row r="46" spans="1:11" ht="14.4" x14ac:dyDescent="0.3">
      <c r="A46" s="153" t="s">
        <v>138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</row>
    <row r="47" spans="1:11" s="84" customFormat="1" ht="12.75" customHeight="1" x14ac:dyDescent="0.25">
      <c r="A47" s="82" t="s">
        <v>139</v>
      </c>
      <c r="B47" s="83"/>
      <c r="C47" s="154" t="s">
        <v>140</v>
      </c>
      <c r="D47" s="154"/>
      <c r="E47" s="154"/>
      <c r="F47" s="154"/>
      <c r="G47" s="154"/>
      <c r="H47" s="154"/>
      <c r="I47" s="154"/>
      <c r="J47" s="154"/>
      <c r="K47" s="154"/>
    </row>
    <row r="48" spans="1:11" s="86" customFormat="1" ht="11.25" customHeight="1" x14ac:dyDescent="0.25">
      <c r="A48" s="155"/>
      <c r="B48" s="151" t="s">
        <v>141</v>
      </c>
      <c r="C48" s="151" t="s">
        <v>142</v>
      </c>
      <c r="D48" s="151" t="s">
        <v>143</v>
      </c>
      <c r="E48" s="151" t="s">
        <v>112</v>
      </c>
      <c r="F48" s="151" t="s">
        <v>144</v>
      </c>
      <c r="G48" s="151" t="s">
        <v>116</v>
      </c>
      <c r="H48" s="156" t="s">
        <v>145</v>
      </c>
      <c r="I48" s="156"/>
      <c r="J48" s="156"/>
      <c r="K48" s="156"/>
    </row>
    <row r="49" spans="1:11" s="86" customFormat="1" ht="11.25" customHeight="1" x14ac:dyDescent="0.25">
      <c r="A49" s="155"/>
      <c r="B49" s="151"/>
      <c r="C49" s="151"/>
      <c r="D49" s="151"/>
      <c r="E49" s="151"/>
      <c r="F49" s="151"/>
      <c r="G49" s="151"/>
      <c r="H49" s="151" t="s">
        <v>146</v>
      </c>
      <c r="I49" s="151"/>
      <c r="J49" s="85" t="s">
        <v>147</v>
      </c>
      <c r="K49" s="85" t="s">
        <v>148</v>
      </c>
    </row>
    <row r="50" spans="1:11" s="86" customFormat="1" ht="33.75" customHeight="1" x14ac:dyDescent="0.25">
      <c r="A50" s="87">
        <v>1</v>
      </c>
      <c r="B50" s="88" t="s">
        <v>149</v>
      </c>
      <c r="C50" s="89">
        <v>46184</v>
      </c>
      <c r="D50" s="90" t="s">
        <v>109</v>
      </c>
      <c r="E50" s="90" t="s">
        <v>114</v>
      </c>
      <c r="F50" s="91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Baixa</v>
      </c>
      <c r="G50" s="90" t="s">
        <v>117</v>
      </c>
      <c r="H50" s="152"/>
      <c r="I50" s="152"/>
      <c r="J50" s="92" t="s">
        <v>232</v>
      </c>
      <c r="K50" s="92" t="s">
        <v>231</v>
      </c>
    </row>
    <row r="51" spans="1:11" s="86" customFormat="1" ht="11.25" customHeight="1" x14ac:dyDescent="0.25">
      <c r="A51" s="87"/>
      <c r="B51" s="88"/>
      <c r="C51" s="89"/>
      <c r="D51" s="90"/>
      <c r="E51" s="90"/>
      <c r="F51" s="91" t="e">
        <f t="shared" si="0"/>
        <v>#VALUE!</v>
      </c>
      <c r="G51" s="90"/>
      <c r="H51" s="93"/>
      <c r="I51" s="94"/>
      <c r="J51" s="92"/>
      <c r="K51" s="92"/>
    </row>
    <row r="52" spans="1:11" s="86" customFormat="1" ht="11.25" customHeight="1" x14ac:dyDescent="0.25">
      <c r="A52" s="87"/>
      <c r="B52" s="88"/>
      <c r="C52" s="89"/>
      <c r="D52" s="90"/>
      <c r="E52" s="90"/>
      <c r="F52" s="91" t="e">
        <f t="shared" si="0"/>
        <v>#VALUE!</v>
      </c>
      <c r="G52" s="90"/>
      <c r="H52" s="93"/>
      <c r="I52" s="94"/>
      <c r="J52" s="92"/>
      <c r="K52" s="92"/>
    </row>
    <row r="53" spans="1:11" s="86" customFormat="1" ht="11.25" customHeight="1" x14ac:dyDescent="0.25">
      <c r="A53" s="87"/>
      <c r="B53" s="88"/>
      <c r="C53" s="89"/>
      <c r="D53" s="90"/>
      <c r="E53" s="90"/>
      <c r="F53" s="91" t="e">
        <f t="shared" si="0"/>
        <v>#VALUE!</v>
      </c>
      <c r="G53" s="90"/>
      <c r="H53" s="93"/>
      <c r="I53" s="94"/>
      <c r="J53" s="92"/>
      <c r="K53" s="92"/>
    </row>
    <row r="54" spans="1:11" s="86" customFormat="1" ht="11.25" customHeight="1" x14ac:dyDescent="0.25">
      <c r="A54" s="87"/>
      <c r="B54" s="88"/>
      <c r="C54" s="89"/>
      <c r="D54" s="90"/>
      <c r="E54" s="90"/>
      <c r="F54" s="91" t="e">
        <f t="shared" si="0"/>
        <v>#VALUE!</v>
      </c>
      <c r="G54" s="90"/>
      <c r="H54" s="93"/>
      <c r="I54" s="94"/>
      <c r="J54" s="92"/>
      <c r="K54" s="92"/>
    </row>
    <row r="55" spans="1:11" s="86" customFormat="1" ht="11.25" customHeight="1" x14ac:dyDescent="0.25">
      <c r="A55" s="87"/>
      <c r="B55" s="88"/>
      <c r="C55" s="89"/>
      <c r="D55" s="90"/>
      <c r="E55" s="90"/>
      <c r="F55" s="91" t="e">
        <f t="shared" si="0"/>
        <v>#VALUE!</v>
      </c>
      <c r="G55" s="90"/>
      <c r="H55" s="93"/>
      <c r="I55" s="94"/>
      <c r="J55" s="92"/>
      <c r="K55" s="92"/>
    </row>
    <row r="56" spans="1:11" s="86" customFormat="1" ht="11.25" customHeight="1" x14ac:dyDescent="0.25">
      <c r="A56" s="87"/>
      <c r="B56" s="88"/>
      <c r="C56" s="89"/>
      <c r="D56" s="90"/>
      <c r="E56" s="90"/>
      <c r="F56" s="91" t="e">
        <f t="shared" si="0"/>
        <v>#VALUE!</v>
      </c>
      <c r="G56" s="90"/>
      <c r="H56" s="93"/>
      <c r="I56" s="94"/>
      <c r="J56" s="92"/>
      <c r="K56" s="92"/>
    </row>
    <row r="57" spans="1:11" s="86" customFormat="1" ht="11.25" customHeight="1" x14ac:dyDescent="0.25">
      <c r="A57" s="87"/>
      <c r="B57" s="88"/>
      <c r="C57" s="89"/>
      <c r="D57" s="90"/>
      <c r="E57" s="90"/>
      <c r="F57" s="91" t="e">
        <f t="shared" si="0"/>
        <v>#VALUE!</v>
      </c>
      <c r="G57" s="90"/>
      <c r="H57" s="93"/>
      <c r="I57" s="94"/>
      <c r="J57" s="92"/>
      <c r="K57" s="92"/>
    </row>
    <row r="58" spans="1:11" s="86" customFormat="1" ht="11.25" customHeight="1" x14ac:dyDescent="0.25">
      <c r="A58" s="87"/>
      <c r="B58" s="88"/>
      <c r="C58" s="89"/>
      <c r="D58" s="90"/>
      <c r="E58" s="90"/>
      <c r="F58" s="91" t="e">
        <f t="shared" si="0"/>
        <v>#VALUE!</v>
      </c>
      <c r="G58" s="90"/>
      <c r="H58" s="93"/>
      <c r="I58" s="94"/>
      <c r="J58" s="92"/>
      <c r="K58" s="92"/>
    </row>
    <row r="59" spans="1:11" s="86" customFormat="1" ht="11.25" customHeight="1" x14ac:dyDescent="0.25">
      <c r="A59" s="87"/>
      <c r="B59" s="88"/>
      <c r="C59" s="89"/>
      <c r="D59" s="90"/>
      <c r="E59" s="90"/>
      <c r="F59" s="91" t="e">
        <f t="shared" si="0"/>
        <v>#VALUE!</v>
      </c>
      <c r="G59" s="90"/>
      <c r="H59" s="152"/>
      <c r="I59" s="152"/>
      <c r="J59" s="92"/>
      <c r="K59" s="92"/>
    </row>
    <row r="60" spans="1:11" s="86" customFormat="1" ht="11.25" customHeight="1" x14ac:dyDescent="0.25">
      <c r="A60" s="87"/>
      <c r="B60" s="88"/>
      <c r="C60" s="89"/>
      <c r="D60" s="90"/>
      <c r="E60" s="90"/>
      <c r="F60" s="91" t="e">
        <f t="shared" si="0"/>
        <v>#VALUE!</v>
      </c>
      <c r="G60" s="90"/>
      <c r="H60" s="152"/>
      <c r="I60" s="152"/>
      <c r="J60" s="92"/>
      <c r="K60" s="92"/>
    </row>
  </sheetData>
  <mergeCells count="20">
    <mergeCell ref="A44:K44"/>
    <mergeCell ref="A1:K1"/>
    <mergeCell ref="D33:E33"/>
    <mergeCell ref="A41:K41"/>
    <mergeCell ref="A42:K42"/>
    <mergeCell ref="A43:K43"/>
    <mergeCell ref="H49:I49"/>
    <mergeCell ref="H50:I50"/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</mergeCells>
  <conditionalFormatting sqref="F50:F60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50:D60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ACQ983095:ACQ983097" xr:uid="{836B5865-9CBE-4CA0-BC98-5E9C64031C50}">
      <formula1>$D$15:$D$17</formula1>
    </dataValidation>
    <dataValidation type="list" allowBlank="1" showInputMessage="1" showErrorMessage="1" sqref="E50:E60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ACR983095:ACR983097" xr:uid="{C5D43322-6936-426F-9C67-1541A99A92DA}">
      <formula1>$D$19:$D$21</formula1>
    </dataValidation>
    <dataValidation type="list" allowBlank="1" showInputMessage="1" showErrorMessage="1" sqref="G50:G60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ACT983095:ACT983097" xr:uid="{AF6D401B-73A9-4B72-95B7-9BC9199707AC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topLeftCell="A4" workbookViewId="0">
      <selection activeCell="D10" sqref="D10"/>
    </sheetView>
  </sheetViews>
  <sheetFormatPr defaultRowHeight="14.4" x14ac:dyDescent="0.3"/>
  <cols>
    <col min="1" max="1" width="14.09765625" style="1" customWidth="1"/>
    <col min="2" max="2" width="11.69921875" style="1" customWidth="1"/>
    <col min="3" max="3" width="0.8984375" style="1" customWidth="1"/>
    <col min="4" max="4" width="28.09765625" style="1" customWidth="1"/>
    <col min="5" max="5" width="11.69921875" style="1" customWidth="1"/>
    <col min="6" max="6" width="1.09765625" style="1" customWidth="1"/>
    <col min="7" max="7" width="12.3984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984375" style="1" customWidth="1"/>
    <col min="13" max="13" width="37.3984375" style="1" customWidth="1"/>
    <col min="14" max="14" width="10" style="1" customWidth="1"/>
    <col min="15" max="1024" width="8.09765625" style="1" customWidth="1"/>
    <col min="1025" max="1025" width="9" customWidth="1"/>
  </cols>
  <sheetData>
    <row r="1" spans="1:23" s="75" customFormat="1" ht="21" customHeight="1" x14ac:dyDescent="0.4">
      <c r="A1" s="134" t="s">
        <v>150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23" s="95" customFormat="1" ht="12.75" customHeight="1" x14ac:dyDescent="0.25">
      <c r="A2" s="164" t="s">
        <v>134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3" s="95" customFormat="1" ht="15" customHeight="1" x14ac:dyDescent="0.25">
      <c r="A3" s="165" t="s">
        <v>151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23" s="95" customFormat="1" ht="15" customHeight="1" x14ac:dyDescent="0.25">
      <c r="A4" s="166" t="s">
        <v>152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</row>
    <row r="5" spans="1:23" s="95" customFormat="1" ht="15.75" customHeight="1" x14ac:dyDescent="0.25">
      <c r="A5" s="167" t="s">
        <v>153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</row>
    <row r="6" spans="1:23" s="4" customFormat="1" ht="20.25" customHeight="1" x14ac:dyDescent="0.25"/>
    <row r="7" spans="1:23" s="4" customFormat="1" ht="12" customHeight="1" x14ac:dyDescent="0.25">
      <c r="A7" s="162" t="s">
        <v>154</v>
      </c>
      <c r="B7" s="162"/>
      <c r="D7" s="162" t="s">
        <v>155</v>
      </c>
      <c r="E7" s="162"/>
      <c r="G7" s="162" t="s">
        <v>156</v>
      </c>
      <c r="H7" s="162"/>
      <c r="I7" s="162"/>
      <c r="J7" s="162"/>
      <c r="K7" s="162"/>
      <c r="M7" s="162" t="s">
        <v>157</v>
      </c>
      <c r="N7" s="162"/>
    </row>
    <row r="8" spans="1:23" s="4" customFormat="1" ht="17.25" customHeight="1" x14ac:dyDescent="0.25">
      <c r="A8" s="98" t="s">
        <v>158</v>
      </c>
      <c r="B8" s="99" t="s">
        <v>159</v>
      </c>
      <c r="D8" s="98" t="s">
        <v>160</v>
      </c>
      <c r="E8" s="99" t="s">
        <v>159</v>
      </c>
      <c r="G8" s="98" t="s">
        <v>161</v>
      </c>
      <c r="H8" s="98" t="s">
        <v>162</v>
      </c>
      <c r="I8" s="98" t="s">
        <v>110</v>
      </c>
      <c r="J8" s="99" t="s">
        <v>163</v>
      </c>
      <c r="K8" s="99" t="s">
        <v>164</v>
      </c>
      <c r="M8" s="99" t="s">
        <v>165</v>
      </c>
      <c r="N8" s="99" t="s">
        <v>166</v>
      </c>
    </row>
    <row r="9" spans="1:23" s="4" customFormat="1" ht="12" x14ac:dyDescent="0.25">
      <c r="A9" s="96" t="s">
        <v>167</v>
      </c>
      <c r="B9" s="97" t="s">
        <v>162</v>
      </c>
      <c r="D9" s="96" t="s">
        <v>168</v>
      </c>
      <c r="E9" s="97" t="s">
        <v>162</v>
      </c>
      <c r="G9" s="98" t="s">
        <v>169</v>
      </c>
      <c r="H9" s="96">
        <v>2</v>
      </c>
      <c r="I9" s="96">
        <v>0</v>
      </c>
      <c r="J9" s="96">
        <v>0</v>
      </c>
      <c r="K9" s="99">
        <f>(H9*4)+(I9*6)+(J9*8)</f>
        <v>8</v>
      </c>
      <c r="M9" s="100" t="s">
        <v>170</v>
      </c>
      <c r="N9" s="101"/>
    </row>
    <row r="10" spans="1:23" s="4" customFormat="1" ht="12" x14ac:dyDescent="0.25">
      <c r="A10" s="96" t="s">
        <v>171</v>
      </c>
      <c r="B10" s="97" t="s">
        <v>162</v>
      </c>
      <c r="D10" s="96"/>
      <c r="E10" s="97"/>
      <c r="G10" s="98" t="s">
        <v>172</v>
      </c>
      <c r="H10" s="96"/>
      <c r="I10" s="96"/>
      <c r="J10" s="96"/>
      <c r="K10" s="99">
        <f>(H10*3)+(I10*4)+(J10*6)</f>
        <v>0</v>
      </c>
      <c r="M10" s="100" t="s">
        <v>173</v>
      </c>
      <c r="N10" s="101"/>
    </row>
    <row r="11" spans="1:23" s="4" customFormat="1" ht="12" customHeight="1" x14ac:dyDescent="0.25">
      <c r="A11" s="96"/>
      <c r="B11" s="97"/>
      <c r="D11" s="96"/>
      <c r="E11" s="97"/>
      <c r="G11" s="162" t="s">
        <v>174</v>
      </c>
      <c r="H11" s="162"/>
      <c r="I11" s="162"/>
      <c r="J11" s="162"/>
      <c r="K11" s="162"/>
      <c r="M11" s="100" t="s">
        <v>175</v>
      </c>
      <c r="N11" s="101"/>
    </row>
    <row r="12" spans="1:23" s="4" customFormat="1" ht="12" x14ac:dyDescent="0.25">
      <c r="A12" s="96"/>
      <c r="B12" s="97"/>
      <c r="D12" s="96"/>
      <c r="E12" s="97"/>
      <c r="G12" s="98" t="s">
        <v>161</v>
      </c>
      <c r="H12" s="98" t="s">
        <v>162</v>
      </c>
      <c r="I12" s="98" t="s">
        <v>110</v>
      </c>
      <c r="J12" s="99" t="s">
        <v>163</v>
      </c>
      <c r="K12" s="99" t="s">
        <v>164</v>
      </c>
      <c r="M12" s="100" t="s">
        <v>176</v>
      </c>
      <c r="N12" s="101"/>
    </row>
    <row r="13" spans="1:23" s="4" customFormat="1" ht="12" x14ac:dyDescent="0.25">
      <c r="A13" s="96"/>
      <c r="B13" s="97"/>
      <c r="D13" s="96"/>
      <c r="E13" s="97"/>
      <c r="G13" s="98" t="s">
        <v>177</v>
      </c>
      <c r="H13" s="96">
        <v>1</v>
      </c>
      <c r="I13" s="96"/>
      <c r="J13" s="96"/>
      <c r="K13" s="99">
        <f>(H13*3)+(I13*4)+(J13*6)</f>
        <v>3</v>
      </c>
      <c r="M13" s="100" t="s">
        <v>178</v>
      </c>
      <c r="N13" s="101"/>
      <c r="W13" s="4" t="s">
        <v>179</v>
      </c>
    </row>
    <row r="14" spans="1:23" s="4" customFormat="1" ht="12" x14ac:dyDescent="0.25">
      <c r="A14" s="96"/>
      <c r="B14" s="97"/>
      <c r="D14" s="96"/>
      <c r="E14" s="97"/>
      <c r="G14" s="98" t="s">
        <v>180</v>
      </c>
      <c r="H14" s="96"/>
      <c r="I14" s="96"/>
      <c r="J14" s="96"/>
      <c r="K14" s="99">
        <f>(H14*4)+(I14*5)+(J14*7)</f>
        <v>0</v>
      </c>
      <c r="M14" s="100" t="s">
        <v>181</v>
      </c>
      <c r="N14" s="101"/>
    </row>
    <row r="15" spans="1:23" s="4" customFormat="1" ht="12" x14ac:dyDescent="0.25">
      <c r="A15" s="96"/>
      <c r="B15" s="97"/>
      <c r="D15" s="96"/>
      <c r="E15" s="97"/>
      <c r="G15" s="98" t="s">
        <v>182</v>
      </c>
      <c r="H15" s="96">
        <v>1</v>
      </c>
      <c r="I15" s="96"/>
      <c r="J15" s="96"/>
      <c r="K15" s="99">
        <f>(H15*3)+(I15*4)+(J15*6)</f>
        <v>3</v>
      </c>
      <c r="M15" s="100" t="s">
        <v>183</v>
      </c>
      <c r="N15" s="101"/>
    </row>
    <row r="16" spans="1:23" s="4" customFormat="1" ht="12" customHeight="1" x14ac:dyDescent="0.25">
      <c r="A16" s="96"/>
      <c r="B16" s="97"/>
      <c r="D16" s="96"/>
      <c r="E16" s="97"/>
      <c r="G16" s="163" t="s">
        <v>184</v>
      </c>
      <c r="H16" s="163"/>
      <c r="I16" s="163"/>
      <c r="J16" s="163"/>
      <c r="K16" s="102">
        <f>SUM(K9,K10,K13,K14,K15)</f>
        <v>14</v>
      </c>
      <c r="M16" s="100" t="s">
        <v>185</v>
      </c>
      <c r="N16" s="101"/>
    </row>
    <row r="17" spans="1:14" s="4" customFormat="1" ht="12" x14ac:dyDescent="0.25">
      <c r="A17" s="96"/>
      <c r="B17" s="97"/>
      <c r="D17" s="96"/>
      <c r="E17" s="97"/>
      <c r="M17" s="100" t="s">
        <v>186</v>
      </c>
      <c r="N17" s="101"/>
    </row>
    <row r="18" spans="1:14" s="4" customFormat="1" ht="12" x14ac:dyDescent="0.25">
      <c r="A18" s="96"/>
      <c r="B18" s="97"/>
      <c r="D18" s="96"/>
      <c r="E18" s="97"/>
      <c r="M18" s="100" t="s">
        <v>187</v>
      </c>
      <c r="N18" s="101"/>
    </row>
    <row r="19" spans="1:14" s="4" customFormat="1" ht="12" x14ac:dyDescent="0.25">
      <c r="A19" s="96"/>
      <c r="B19" s="97"/>
      <c r="D19" s="96"/>
      <c r="E19" s="97"/>
      <c r="M19" s="100" t="s">
        <v>188</v>
      </c>
      <c r="N19" s="101"/>
    </row>
    <row r="20" spans="1:14" s="4" customFormat="1" ht="12" x14ac:dyDescent="0.25">
      <c r="A20" s="96"/>
      <c r="B20" s="97"/>
      <c r="D20" s="96"/>
      <c r="E20" s="97"/>
      <c r="M20" s="100" t="s">
        <v>189</v>
      </c>
      <c r="N20" s="101"/>
    </row>
    <row r="21" spans="1:14" s="4" customFormat="1" ht="12" x14ac:dyDescent="0.25">
      <c r="M21" s="100" t="s">
        <v>190</v>
      </c>
      <c r="N21" s="101"/>
    </row>
    <row r="22" spans="1:14" s="4" customFormat="1" ht="12" x14ac:dyDescent="0.25">
      <c r="M22" s="100" t="s">
        <v>191</v>
      </c>
      <c r="N22" s="101"/>
    </row>
    <row r="23" spans="1:14" s="4" customFormat="1" ht="12" x14ac:dyDescent="0.25">
      <c r="M23" s="103" t="s">
        <v>192</v>
      </c>
      <c r="N23" s="104">
        <f>SUM(N9:N22)</f>
        <v>0</v>
      </c>
    </row>
    <row r="24" spans="1:14" x14ac:dyDescent="0.3">
      <c r="M24" s="103" t="s">
        <v>193</v>
      </c>
      <c r="N24" s="102">
        <f>(N23*0.01)+0.65</f>
        <v>0.65</v>
      </c>
    </row>
    <row r="25" spans="1:14" x14ac:dyDescent="0.3">
      <c r="M25" s="103" t="s">
        <v>194</v>
      </c>
      <c r="N25" s="105">
        <f>K16*N24</f>
        <v>9.1</v>
      </c>
    </row>
    <row r="26" spans="1:14" x14ac:dyDescent="0.3">
      <c r="M26" s="103" t="s">
        <v>195</v>
      </c>
      <c r="N26" s="106">
        <v>19</v>
      </c>
    </row>
    <row r="27" spans="1:14" ht="21" x14ac:dyDescent="0.3">
      <c r="M27" s="107" t="s">
        <v>196</v>
      </c>
      <c r="N27" s="108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activeCell="N17" sqref="N17"/>
    </sheetView>
  </sheetViews>
  <sheetFormatPr defaultRowHeight="14.4" x14ac:dyDescent="0.3"/>
  <cols>
    <col min="1" max="1" width="45.5" style="1" customWidth="1"/>
    <col min="2" max="2" width="12.59765625" style="25" customWidth="1"/>
    <col min="3" max="3" width="12.69921875" style="1" customWidth="1"/>
    <col min="4" max="4" width="1.09765625" style="1" customWidth="1"/>
    <col min="5" max="5" width="24.8984375" style="1" customWidth="1"/>
    <col min="6" max="6" width="6.69921875" style="1" customWidth="1"/>
    <col min="7" max="7" width="7" style="1" customWidth="1"/>
    <col min="8" max="8" width="6.5" style="1" customWidth="1"/>
    <col min="9" max="9" width="7" style="1" customWidth="1"/>
    <col min="10" max="10" width="10.09765625" style="1" customWidth="1"/>
    <col min="11" max="11" width="7" style="1" customWidth="1"/>
    <col min="12" max="12" width="7.59765625" style="1" customWidth="1"/>
    <col min="13" max="13" width="7" style="1" customWidth="1"/>
    <col min="14" max="14" width="19.09765625" style="1" customWidth="1"/>
    <col min="15" max="1024" width="8.09765625" style="1" customWidth="1"/>
    <col min="1025" max="1025" width="9" customWidth="1"/>
  </cols>
  <sheetData>
    <row r="1" spans="1:14" ht="21" x14ac:dyDescent="0.4">
      <c r="A1" s="134" t="s">
        <v>54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7.5" customHeight="1" x14ac:dyDescent="0.3"/>
    <row r="3" spans="1:14" ht="18" x14ac:dyDescent="0.35">
      <c r="A3" s="133" t="s">
        <v>55</v>
      </c>
      <c r="B3" s="133"/>
      <c r="C3" s="133"/>
      <c r="E3" s="133" t="s">
        <v>197</v>
      </c>
      <c r="F3" s="133"/>
      <c r="G3" s="133"/>
      <c r="H3" s="133"/>
      <c r="I3" s="133"/>
      <c r="J3" s="133"/>
      <c r="K3" s="133"/>
      <c r="L3" s="133"/>
      <c r="M3" s="133"/>
      <c r="N3" s="133"/>
    </row>
    <row r="4" spans="1:14" x14ac:dyDescent="0.3">
      <c r="A4" s="109" t="s">
        <v>198</v>
      </c>
      <c r="B4" s="110">
        <f>'#Estimativa-APF#'!$N$27</f>
        <v>172.9</v>
      </c>
      <c r="C4" s="30" t="s">
        <v>57</v>
      </c>
      <c r="E4" s="135" t="s">
        <v>199</v>
      </c>
      <c r="F4" s="132" t="s">
        <v>16</v>
      </c>
      <c r="G4" s="132"/>
      <c r="H4" s="132" t="s">
        <v>31</v>
      </c>
      <c r="I4" s="132"/>
      <c r="J4" s="132" t="s">
        <v>40</v>
      </c>
      <c r="K4" s="132"/>
      <c r="L4" s="132" t="s">
        <v>46</v>
      </c>
      <c r="M4" s="132"/>
      <c r="N4" s="111"/>
    </row>
    <row r="5" spans="1:14" ht="18" x14ac:dyDescent="0.35">
      <c r="A5" s="28" t="s">
        <v>58</v>
      </c>
      <c r="B5" s="29">
        <v>0</v>
      </c>
      <c r="C5" s="38" t="s">
        <v>200</v>
      </c>
      <c r="E5" s="135"/>
      <c r="F5" s="132" t="s">
        <v>17</v>
      </c>
      <c r="G5" s="132"/>
      <c r="H5" s="132" t="s">
        <v>17</v>
      </c>
      <c r="I5" s="132"/>
      <c r="J5" s="132" t="s">
        <v>17</v>
      </c>
      <c r="K5" s="132"/>
      <c r="L5" s="132" t="s">
        <v>17</v>
      </c>
      <c r="M5" s="132"/>
      <c r="N5" s="41" t="s">
        <v>201</v>
      </c>
    </row>
    <row r="6" spans="1:14" x14ac:dyDescent="0.3">
      <c r="A6" s="112" t="s">
        <v>202</v>
      </c>
      <c r="B6" s="113">
        <f>B4+(B4*B5)</f>
        <v>172.9</v>
      </c>
      <c r="C6" s="38" t="s">
        <v>57</v>
      </c>
      <c r="E6" s="135"/>
      <c r="F6" s="114">
        <f>B6*G6</f>
        <v>8.6450000000000014</v>
      </c>
      <c r="G6" s="115">
        <v>0.05</v>
      </c>
      <c r="H6" s="114">
        <f>B4*I6</f>
        <v>34.580000000000005</v>
      </c>
      <c r="I6" s="115">
        <v>0.2</v>
      </c>
      <c r="J6" s="114">
        <f>B4*K6</f>
        <v>112.38500000000001</v>
      </c>
      <c r="K6" s="115">
        <v>0.65</v>
      </c>
      <c r="L6" s="114">
        <f>B4*M6</f>
        <v>17.290000000000003</v>
      </c>
      <c r="M6" s="115">
        <v>0.1</v>
      </c>
      <c r="N6" s="114"/>
    </row>
    <row r="7" spans="1:14" ht="15.6" x14ac:dyDescent="0.3">
      <c r="A7" s="30" t="s">
        <v>203</v>
      </c>
      <c r="B7" s="31">
        <v>1</v>
      </c>
      <c r="C7" s="30"/>
      <c r="E7" s="116" t="s">
        <v>204</v>
      </c>
      <c r="F7" s="114">
        <f>F6*G7</f>
        <v>4.7547500000000014</v>
      </c>
      <c r="G7" s="115">
        <v>0.55000000000000004</v>
      </c>
      <c r="H7" s="114">
        <f>H6*I7</f>
        <v>10.374000000000001</v>
      </c>
      <c r="I7" s="115">
        <v>0.3</v>
      </c>
      <c r="J7" s="114">
        <f>J6*K7</f>
        <v>13.4862</v>
      </c>
      <c r="K7" s="115">
        <v>0.12</v>
      </c>
      <c r="L7" s="114">
        <f>L6*M7</f>
        <v>0.86450000000000016</v>
      </c>
      <c r="M7" s="115">
        <v>0.05</v>
      </c>
      <c r="N7" s="117">
        <f>SUM(F7,H7,J7,L7)</f>
        <v>29.47945</v>
      </c>
    </row>
    <row r="8" spans="1:14" ht="15.6" x14ac:dyDescent="0.3">
      <c r="A8" s="30" t="s">
        <v>205</v>
      </c>
      <c r="B8" s="31">
        <v>40</v>
      </c>
      <c r="C8" s="30" t="s">
        <v>206</v>
      </c>
      <c r="E8" s="116" t="s">
        <v>207</v>
      </c>
      <c r="F8" s="114">
        <f>F6*G8</f>
        <v>1.2967500000000001</v>
      </c>
      <c r="G8" s="115">
        <v>0.15</v>
      </c>
      <c r="H8" s="114">
        <f>H6*I8</f>
        <v>6.9160000000000013</v>
      </c>
      <c r="I8" s="115">
        <v>0.2</v>
      </c>
      <c r="J8" s="114">
        <f>J6*K8</f>
        <v>11.238500000000002</v>
      </c>
      <c r="K8" s="115">
        <v>0.1</v>
      </c>
      <c r="L8" s="114">
        <f>L6*M8</f>
        <v>0.86450000000000016</v>
      </c>
      <c r="M8" s="115">
        <v>0.05</v>
      </c>
      <c r="N8" s="117">
        <f>SUM(F8,H8,J8,L8)</f>
        <v>20.315750000000001</v>
      </c>
    </row>
    <row r="9" spans="1:14" ht="15.6" x14ac:dyDescent="0.3">
      <c r="A9" s="30" t="s">
        <v>208</v>
      </c>
      <c r="B9" s="31">
        <v>2</v>
      </c>
      <c r="C9" s="30" t="s">
        <v>68</v>
      </c>
      <c r="E9" s="116" t="s">
        <v>209</v>
      </c>
      <c r="F9" s="114">
        <f>F6*G9</f>
        <v>0.17290000000000003</v>
      </c>
      <c r="G9" s="115">
        <v>0.02</v>
      </c>
      <c r="H9" s="114">
        <f>H6*I9</f>
        <v>6.9160000000000013</v>
      </c>
      <c r="I9" s="115">
        <v>0.2</v>
      </c>
      <c r="J9" s="114">
        <f>J6*K9</f>
        <v>44.954000000000008</v>
      </c>
      <c r="K9" s="115">
        <v>0.4</v>
      </c>
      <c r="L9" s="114">
        <f>L6*M9</f>
        <v>2.5935000000000001</v>
      </c>
      <c r="M9" s="115">
        <v>0.15</v>
      </c>
      <c r="N9" s="117">
        <f>SUM(F9,H9,J9,L9)</f>
        <v>54.636400000000009</v>
      </c>
    </row>
    <row r="10" spans="1:14" ht="15.6" x14ac:dyDescent="0.3">
      <c r="A10" s="118" t="s">
        <v>210</v>
      </c>
      <c r="B10" s="119">
        <f>(B7*B8)*B9</f>
        <v>80</v>
      </c>
      <c r="C10" s="118" t="s">
        <v>57</v>
      </c>
      <c r="E10" s="116" t="s">
        <v>211</v>
      </c>
      <c r="F10" s="114">
        <f>F6*G10</f>
        <v>0.43225000000000008</v>
      </c>
      <c r="G10" s="115">
        <v>0.05</v>
      </c>
      <c r="H10" s="114">
        <f>H6*I10</f>
        <v>2.7664000000000004</v>
      </c>
      <c r="I10" s="115">
        <v>0.08</v>
      </c>
      <c r="J10" s="114">
        <f>J6*K10</f>
        <v>11.238500000000002</v>
      </c>
      <c r="K10" s="115">
        <v>0.1</v>
      </c>
      <c r="L10" s="114">
        <f>L6*M10</f>
        <v>1.7290000000000003</v>
      </c>
      <c r="M10" s="115">
        <v>0.1</v>
      </c>
      <c r="N10" s="117">
        <f>SUM(F10,H10,J10,L10)</f>
        <v>16.166150000000002</v>
      </c>
    </row>
    <row r="11" spans="1:14" ht="15.6" x14ac:dyDescent="0.3">
      <c r="A11" s="109" t="s">
        <v>212</v>
      </c>
      <c r="B11" s="120">
        <f>B6/B10*2</f>
        <v>4.3224999999999998</v>
      </c>
      <c r="C11" s="109" t="s">
        <v>68</v>
      </c>
      <c r="E11" s="116" t="s">
        <v>213</v>
      </c>
      <c r="F11" s="114">
        <f>F6*G11</f>
        <v>0</v>
      </c>
      <c r="G11" s="115">
        <v>0</v>
      </c>
      <c r="H11" s="114">
        <f>H6*I11</f>
        <v>0.6916000000000001</v>
      </c>
      <c r="I11" s="115">
        <v>0.02</v>
      </c>
      <c r="J11" s="114">
        <f>J6*K11</f>
        <v>5.619250000000001</v>
      </c>
      <c r="K11" s="115">
        <v>0.05</v>
      </c>
      <c r="L11" s="114">
        <f>L6*M11</f>
        <v>1.7290000000000003</v>
      </c>
      <c r="M11" s="115">
        <v>0.1</v>
      </c>
      <c r="N11" s="117">
        <f>SUM(F11,H11,J11,L11)</f>
        <v>8.0398500000000013</v>
      </c>
    </row>
    <row r="12" spans="1:14" x14ac:dyDescent="0.3">
      <c r="A12" s="109" t="s">
        <v>214</v>
      </c>
      <c r="B12" s="120">
        <f>B11/4</f>
        <v>1.0806249999999999</v>
      </c>
      <c r="C12" s="109" t="s">
        <v>70</v>
      </c>
      <c r="E12" s="121" t="s">
        <v>215</v>
      </c>
      <c r="F12" s="122">
        <f t="shared" ref="F12:M12" si="0">SUM(F7:F11)</f>
        <v>6.6566500000000017</v>
      </c>
      <c r="G12" s="123">
        <f t="shared" si="0"/>
        <v>0.77000000000000013</v>
      </c>
      <c r="H12" s="122">
        <f t="shared" si="0"/>
        <v>27.664000000000005</v>
      </c>
      <c r="I12" s="123">
        <f t="shared" si="0"/>
        <v>0.79999999999999993</v>
      </c>
      <c r="J12" s="122">
        <f t="shared" si="0"/>
        <v>86.536450000000002</v>
      </c>
      <c r="K12" s="123">
        <f t="shared" si="0"/>
        <v>0.77</v>
      </c>
      <c r="L12" s="122">
        <f t="shared" si="0"/>
        <v>7.7805000000000009</v>
      </c>
      <c r="M12" s="123">
        <f t="shared" si="0"/>
        <v>0.44999999999999996</v>
      </c>
      <c r="N12" s="121"/>
    </row>
    <row r="13" spans="1:14" ht="15.6" x14ac:dyDescent="0.3">
      <c r="A13" s="118" t="s">
        <v>216</v>
      </c>
      <c r="B13" s="124">
        <f>B11/B9</f>
        <v>2.1612499999999999</v>
      </c>
      <c r="C13" s="118" t="s">
        <v>217</v>
      </c>
      <c r="E13" s="116" t="s">
        <v>218</v>
      </c>
      <c r="F13" s="114">
        <f>F6*G13</f>
        <v>0.25935000000000002</v>
      </c>
      <c r="G13" s="115">
        <v>0.03</v>
      </c>
      <c r="H13" s="114">
        <f>H6*I13</f>
        <v>2.7664000000000004</v>
      </c>
      <c r="I13" s="115">
        <v>0.08</v>
      </c>
      <c r="J13" s="114">
        <f>J6*K13</f>
        <v>14.610050000000001</v>
      </c>
      <c r="K13" s="115">
        <v>0.13</v>
      </c>
      <c r="L13" s="114">
        <f>L6*M13</f>
        <v>5.1870000000000003</v>
      </c>
      <c r="M13" s="115">
        <v>0.3</v>
      </c>
      <c r="N13" s="117">
        <f>SUM(F13,H13,J13,L13)</f>
        <v>22.822800000000004</v>
      </c>
    </row>
    <row r="14" spans="1:14" ht="15.6" x14ac:dyDescent="0.3">
      <c r="E14" s="116" t="s">
        <v>219</v>
      </c>
      <c r="F14" s="114">
        <f>F6*G14</f>
        <v>1.7290000000000003</v>
      </c>
      <c r="G14" s="115">
        <v>0.2</v>
      </c>
      <c r="H14" s="114">
        <f>H6*I14</f>
        <v>4.1496000000000004</v>
      </c>
      <c r="I14" s="115">
        <v>0.12</v>
      </c>
      <c r="J14" s="114">
        <f>J6*K14</f>
        <v>11.238500000000002</v>
      </c>
      <c r="K14" s="115">
        <v>0.1</v>
      </c>
      <c r="L14" s="114">
        <f>L6*M14</f>
        <v>4.3225000000000007</v>
      </c>
      <c r="M14" s="115">
        <v>0.25</v>
      </c>
      <c r="N14" s="117">
        <f>SUM(F14,H14,J14,L14)</f>
        <v>21.439600000000002</v>
      </c>
    </row>
    <row r="15" spans="1:14" x14ac:dyDescent="0.3">
      <c r="E15" s="121" t="s">
        <v>220</v>
      </c>
      <c r="F15" s="122">
        <f t="shared" ref="F15:M15" si="1">SUM(F13:F14)</f>
        <v>1.9883500000000003</v>
      </c>
      <c r="G15" s="123">
        <f t="shared" si="1"/>
        <v>0.23</v>
      </c>
      <c r="H15" s="122">
        <f t="shared" si="1"/>
        <v>6.9160000000000004</v>
      </c>
      <c r="I15" s="123">
        <f t="shared" si="1"/>
        <v>0.2</v>
      </c>
      <c r="J15" s="122">
        <f t="shared" si="1"/>
        <v>25.848550000000003</v>
      </c>
      <c r="K15" s="123">
        <f t="shared" si="1"/>
        <v>0.23</v>
      </c>
      <c r="L15" s="122">
        <f t="shared" si="1"/>
        <v>9.509500000000001</v>
      </c>
      <c r="M15" s="123">
        <f t="shared" si="1"/>
        <v>0.55000000000000004</v>
      </c>
      <c r="N15" s="121"/>
    </row>
    <row r="16" spans="1:14" ht="18" x14ac:dyDescent="0.35">
      <c r="A16" s="133" t="s">
        <v>71</v>
      </c>
      <c r="B16" s="133"/>
      <c r="C16" s="133"/>
      <c r="E16" s="41" t="s">
        <v>221</v>
      </c>
      <c r="F16" s="125">
        <f t="shared" ref="F16:M16" si="2">F12+F15</f>
        <v>8.6450000000000014</v>
      </c>
      <c r="G16" s="126">
        <f t="shared" si="2"/>
        <v>1.0000000000000002</v>
      </c>
      <c r="H16" s="125">
        <f t="shared" si="2"/>
        <v>34.580000000000005</v>
      </c>
      <c r="I16" s="126">
        <f t="shared" si="2"/>
        <v>1</v>
      </c>
      <c r="J16" s="125">
        <f t="shared" si="2"/>
        <v>112.38500000000001</v>
      </c>
      <c r="K16" s="126">
        <f t="shared" si="2"/>
        <v>1</v>
      </c>
      <c r="L16" s="125">
        <f t="shared" si="2"/>
        <v>17.290000000000003</v>
      </c>
      <c r="M16" s="126">
        <f t="shared" si="2"/>
        <v>1</v>
      </c>
      <c r="N16" s="127">
        <f>SUM(N7:N11,N13,N14)</f>
        <v>172.90000000000003</v>
      </c>
    </row>
    <row r="17" spans="1:14" x14ac:dyDescent="0.3">
      <c r="A17" s="30" t="s">
        <v>72</v>
      </c>
      <c r="B17" s="128">
        <v>20</v>
      </c>
      <c r="C17" s="38"/>
      <c r="N17" s="72"/>
    </row>
    <row r="18" spans="1:14" x14ac:dyDescent="0.3">
      <c r="A18" s="30" t="s">
        <v>73</v>
      </c>
      <c r="B18" s="39">
        <f>B6*B17</f>
        <v>3458</v>
      </c>
      <c r="C18" s="38"/>
      <c r="L18" s="72"/>
      <c r="N18" s="72"/>
    </row>
    <row r="19" spans="1:14" x14ac:dyDescent="0.3">
      <c r="A19" s="30" t="s">
        <v>74</v>
      </c>
      <c r="B19" s="29">
        <v>0</v>
      </c>
      <c r="C19" s="38"/>
      <c r="N19" s="72"/>
    </row>
    <row r="20" spans="1:14" x14ac:dyDescent="0.3">
      <c r="A20" s="30" t="s">
        <v>75</v>
      </c>
      <c r="B20" s="40">
        <f>B18*B19</f>
        <v>0</v>
      </c>
      <c r="C20" s="38"/>
      <c r="L20" s="72"/>
      <c r="N20" s="72"/>
    </row>
    <row r="21" spans="1:14" ht="15.6" x14ac:dyDescent="0.3">
      <c r="A21" s="26" t="s">
        <v>222</v>
      </c>
      <c r="B21" s="129">
        <f>B18+B20</f>
        <v>3458</v>
      </c>
      <c r="C21" s="38"/>
      <c r="N21" s="72"/>
    </row>
    <row r="22" spans="1:14" x14ac:dyDescent="0.3">
      <c r="A22" s="30" t="s">
        <v>77</v>
      </c>
      <c r="B22" s="29">
        <v>0.2</v>
      </c>
      <c r="C22" s="38"/>
      <c r="J22" s="72"/>
    </row>
    <row r="23" spans="1:14" x14ac:dyDescent="0.3">
      <c r="A23" s="30" t="s">
        <v>78</v>
      </c>
      <c r="B23" s="43">
        <f>B21*B22</f>
        <v>691.6</v>
      </c>
      <c r="C23" s="38"/>
    </row>
    <row r="24" spans="1:14" ht="15.6" x14ac:dyDescent="0.3">
      <c r="A24" s="26" t="s">
        <v>223</v>
      </c>
      <c r="B24" s="129">
        <f>B21+B23</f>
        <v>4149.6000000000004</v>
      </c>
      <c r="C24" s="38"/>
    </row>
    <row r="26" spans="1:14" x14ac:dyDescent="0.3">
      <c r="J26" s="72"/>
    </row>
    <row r="27" spans="1:14" x14ac:dyDescent="0.3">
      <c r="J27" s="72"/>
    </row>
    <row r="28" spans="1:14" x14ac:dyDescent="0.3">
      <c r="N28" s="72"/>
    </row>
    <row r="29" spans="1:14" x14ac:dyDescent="0.3">
      <c r="N29" s="72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Krishna Miranda Santos</dc:creator>
  <cp:lastModifiedBy>Amanda Krishna Miranda Santos</cp:lastModifiedBy>
  <cp:revision>8</cp:revision>
  <dcterms:created xsi:type="dcterms:W3CDTF">2025-06-04T07:35:10Z</dcterms:created>
  <dcterms:modified xsi:type="dcterms:W3CDTF">2026-04-09T00:26:29Z</dcterms:modified>
</cp:coreProperties>
</file>